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Formuls " sheetId="4" r:id="rId7"/>
  </sheets>
  <definedNames/>
  <calcPr/>
  <extLst>
    <ext uri="GoogleSheetsCustomDataVersion2">
      <go:sheetsCustomData xmlns:go="http://customooxmlschemas.google.com/" r:id="rId8" roundtripDataChecksum="D8dbPzdBrPu/FjTCWwj976RuJYOoB6MqirlUD/Vaw6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<sst xmlns="http://schemas.openxmlformats.org/spreadsheetml/2006/main" count="779" uniqueCount="397">
  <si>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</si>
  <si>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</si>
  <si>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</si>
  <si>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</si>
  <si>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</si>
  <si>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</si>
  <si>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</si>
  <si>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</si>
  <si>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</si>
  <si>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</si>
  <si>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</si>
  <si>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</si>
  <si>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</si>
  <si>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</si>
  <si>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</si>
  <si>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</si>
  <si>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</si>
  <si>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</si>
  <si>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</si>
  <si>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</si>
  <si>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</si>
  <si>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</si>
  <si>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</si>
  <si>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</si>
  <si>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</si>
  <si>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</si>
  <si>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</si>
  <si>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</si>
  <si>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</si>
  <si>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</si>
  <si>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</si>
  <si>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</si>
  <si>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</si>
  <si>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</si>
  <si>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</si>
  <si>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</si>
  <si>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</si>
  <si>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</si>
  <si>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</si>
  <si>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</si>
  <si>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</si>
  <si>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</si>
  <si>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</si>
  <si>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</si>
  <si>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</si>
  <si>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</si>
  <si>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</si>
  <si>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</si>
  <si>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</si>
  <si>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</si>
  <si>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</si>
  <si>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</si>
  <si>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</si>
  <si>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</si>
  <si>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</si>
  <si>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</si>
  <si>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</si>
  <si>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</si>
  <si>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</si>
  <si>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</si>
  <si>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</si>
  <si>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</si>
  <si>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</si>
  <si>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</si>
  <si>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</si>
  <si>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</si>
  <si>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</si>
  <si>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Horizontal_Tail_Lift_Curve_Slope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</si>
  <si>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</si>
  <si>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</si>
  <si>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</si>
  <si>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</si>
  <si>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</si>
  <si>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</si>
  <si>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</si>
  <si>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</si>
  <si>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</si>
  <si>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</si>
  <si>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</si>
  <si>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</si>
  <si>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</si>
  <si>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</si>
  <si>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</si>
  <si>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</si>
  <si>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</si>
  <si>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</si>
  <si>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</si>
  <si>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</si>
  <si>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</si>
  <si>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</si>
  <si>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</si>
  <si>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</si>
  <si>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</si>
  <si>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</si>
  <si>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</si>
  <si>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</si>
  <si>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</si>
  <si>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</si>
  <si>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</si>
  <si>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</si>
  <si>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</si>
  <si>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</si>
  <si>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</si>
  <si>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</si>
  <si>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</si>
  <si>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</si>
  <si>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</si>
  <si>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</si>
  <si>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</si>
  <si>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</si>
  <si>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</si>
  <si>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</si>
  <si>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</si>
  <si>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</si>
  <si>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</si>
  <si>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</si>
  <si>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</si>
  <si>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</si>
  <si>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</si>
  <si>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</si>
  <si>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</si>
  <si>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</si>
  <si>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</si>
  <si>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</si>
  <si>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</si>
  <si>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</si>
  <si>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</si>
  <si>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</si>
  <si>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</si>
  <si>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</si>
  <si>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</si>
  <si>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</si>
  <si>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</si>
  <si>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</si>
  <si>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</si>
  <si>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</si>
  <si>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</si>
  <si>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</si>
  <si>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</si>
  <si>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Speedbrake_Plate_Drag_Factor</t>
  </si>
  <si>
    <t>Drag coefficient of a square flat plate placed perpendicular to the free stream. This represents the separated flow drag (pressure drag) typical for speedbrakes</t>
  </si>
  <si>
    <t>Speedbrake_Lift_Loss_Factor</t>
  </si>
  <si>
    <t>Factor representing the loss of lift on the fuselage due to flow separation caused by the dorsal speedbrake</t>
  </si>
  <si>
    <t>aero/coefficient/Clp</t>
  </si>
  <si>
    <t>Clp = -0.25 - (0.04 * (b^2 / Sw))</t>
  </si>
  <si>
    <t>Arm_Vertical_Speedbrake_Top</t>
  </si>
  <si>
    <t>Vertical distance from CG to the Geometric Center (Centroid) of the deployed speedbrake surface.</t>
  </si>
  <si>
    <t>Arm_Vertical_Speedbrake_Side</t>
  </si>
  <si>
    <t>ClDa</t>
  </si>
  <si>
    <t>Area_ Speedbrake_Top</t>
  </si>
  <si>
    <t>H</t>
  </si>
  <si>
    <t>ClDa = (Lift_Curve_Slope * Aileron_Effectiveness * Aileron_Span_Ratio * Aileron_Lever_Ratio) / 2</t>
  </si>
  <si>
    <t>Area_Speedbrake_Side</t>
  </si>
  <si>
    <t>ClDr</t>
  </si>
  <si>
    <t>Roll Moment due to Rudder</t>
  </si>
  <si>
    <t xml:space="preserve">ClDr = -1 * CYDr * (Vertical_Arm / wingspan) </t>
  </si>
  <si>
    <t>Cmo</t>
  </si>
  <si>
    <t>Pitching moment at zero alpha</t>
  </si>
  <si>
    <t>Cmo = Airfoil_Pitch_Moment + Tail_Balancing_Moment</t>
  </si>
  <si>
    <t>Cmalpha</t>
  </si>
  <si>
    <t xml:space="preserve">Cmalpha=-1 * Lift_Curve_Slope *  ( ( (AeroRP_X - CG_X) / chord) * Tuning_Multiplier)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</si>
  <si>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</si>
  <si>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</si>
  <si>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</si>
  <si>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</si>
  <si>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</si>
  <si>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</si>
  <si>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</si>
  <si>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</si>
  <si>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</si>
  <si>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</si>
  <si>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</si>
  <si>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</si>
  <si>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</si>
  <si>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</si>
  <si>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</si>
  <si>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</si>
  <si>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</si>
  <si>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</si>
  <si>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</si>
  <si>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</si>
  <si>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</si>
  <si>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</si>
  <si>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</si>
  <si>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</si>
  <si>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CDsb</t>
  </si>
  <si>
    <t>Drag coefficient due to speedbrake deployment</t>
  </si>
  <si>
    <t>CDsb = Speedbrake_Plate_Drag_Factor * ( ( Area_ Speedbrake_Top + ( 2 * Area_Speedbrake_Side ) ) / wingarea )</t>
  </si>
  <si>
    <t>Cmsb</t>
  </si>
  <si>
    <t>Pitching moment coefficient due to speedbrake</t>
  </si>
  <si>
    <t>Cmsb = Speedbrake_Plate_Drag_Factor * ( ( ( Area_ Speedbrake_Top * Arm_Vertical_ Speedbrake_Top ) + ( 2 * Area_ Speedbrake_Side * Arm_Vertical_ Speedbrake_Side ) ) / ( wingarea * chord) )</t>
  </si>
  <si>
    <t>dCLsb</t>
  </si>
  <si>
    <t>Lift coefficient change due to speedbrake deployment</t>
  </si>
  <si>
    <t>dCLsb = Speedbrake_Lift_Loss_Factor * ( Area_Speedbrake_Top / wingarea )</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</si>
  <si>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</si>
  <si>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</si>
  <si>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</si>
  <si>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</si>
  <si>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</si>
  <si>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</si>
  <si>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</si>
  <si>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</si>
  <si>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</si>
  <si>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</si>
  <si>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</si>
  <si>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</si>
  <si>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</si>
  <si>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</si>
  <si>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</si>
  <si>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</si>
  <si>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</si>
  <si>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</si>
  <si>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</si>
  <si>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</si>
  <si>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</si>
  <si>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</si>
  <si>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</si>
  <si>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</si>
  <si>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</si>
  <si>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</si>
  <si>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</si>
  <si>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</si>
  <si>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</si>
  <si>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</si>
  <si>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</si>
  <si>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</si>
  <si>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</si>
  <si>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</si>
  <si>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</si>
  <si>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</si>
  <si>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</si>
  <si>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</si>
  <si>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</si>
  <si>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</si>
  <si>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</si>
  <si>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</si>
  <si>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</si>
  <si>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</si>
  <si>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</si>
  <si>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</si>
  <si>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</si>
  <si>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</si>
  <si>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</si>
  <si>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 xml:space="preserve">&lt;system file="Effectors.xml" /&gt; </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</si>
  <si>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</si>
  <si>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</si>
  <si>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</si>
  <si>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</si>
  <si>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</si>
  <si>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</si>
  <si>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</si>
  <si>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</si>
  <si>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</si>
  <si>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</si>
  <si>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</si>
  <si>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</si>
  <si>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</si>
  <si>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</si>
  <si>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</si>
  <si>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</si>
  <si>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</si>
  <si>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</si>
  <si>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</si>
  <si>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</si>
  <si>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</si>
  <si>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</si>
  <si>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</si>
  <si>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</si>
  <si>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</si>
  <si>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</si>
  <si>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</si>
  <si>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</si>
  <si>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</si>
  <si>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</si>
  <si>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</si>
  <si>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</si>
  <si>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</si>
  <si>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&lt;function name="aero/coefficient/CDsb"&gt;</t>
  </si>
  <si>
    <t>&lt;description&gt;Drag coefficient due to speedbrake&lt;/description&gt;</t>
  </si>
  <si>
    <t>&lt;property&gt;fcs/speedbrake-pos-norm&lt;/property&gt;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</si>
  <si>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</si>
  <si>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</si>
  <si>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</si>
  <si>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</si>
  <si>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</si>
  <si>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</si>
  <si>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</si>
  <si>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</si>
  <si>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</si>
  <si>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</si>
  <si>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</si>
  <si>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</si>
  <si>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</si>
  <si>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</si>
  <si>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</si>
  <si>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</si>
  <si>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</si>
  <si>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</si>
  <si>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</si>
  <si>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</si>
  <si>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&lt;function name="aero/coefficient/dCLsb"&gt;</t>
  </si>
  <si>
    <t>&lt;description&gt;Change in lift due to speedbrake (Spoiler Effect)&lt;/description&gt;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</si>
  <si>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</si>
  <si>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</si>
  <si>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</si>
  <si>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</si>
  <si>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</si>
  <si>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</si>
  <si>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</si>
  <si>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</si>
  <si>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</si>
  <si>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</si>
  <si>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</si>
  <si>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</si>
  <si>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</si>
  <si>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</si>
  <si>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</si>
  <si>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</si>
  <si>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</si>
  <si>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</si>
  <si>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</si>
  <si>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</si>
  <si>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</si>
  <si>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</si>
  <si>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</si>
  <si>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</si>
  <si>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</si>
  <si>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</si>
  <si>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</si>
  <si>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</si>
  <si>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</si>
  <si>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</si>
  <si>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</si>
  <si>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</si>
  <si>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</si>
  <si>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</si>
  <si>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</si>
  <si>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</si>
  <si>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</si>
  <si>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</si>
  <si>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</si>
  <si>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</si>
  <si>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</si>
  <si>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</si>
  <si>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</si>
  <si>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</si>
  <si>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</si>
  <si>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</si>
  <si>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</si>
  <si>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</si>
  <si>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&lt;function name="aero/coefficient/Cmsb"&gt;</t>
  </si>
  <si>
    <t>&lt;description&gt;Pitch moment due to speedbrake&lt;/description&gt;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</si>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</sst>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6">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0" fontId="1" numFmtId="0" xfId="0" applyAlignment="1" applyFont="1">
      <alignment readingOrder="0"/>
    </xf>
    <xf borderId="0" fillId="4" fontId="1" numFmtId="0" xfId="0" applyAlignment="1" applyFont="1">
      <alignment horizontal="left"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1" fillId="0" fontId="8" numFmtId="0" xfId="0" applyAlignment="1" applyBorder="1" applyFont="1">
      <alignment readingOrder="0" shrinkToFit="0" vertical="center" wrapText="1"/>
    </xf>
    <xf borderId="22" fillId="0" fontId="1" numFmtId="165" xfId="0" applyAlignment="1" applyBorder="1" applyFont="1" applyNumberFormat="1">
      <alignment horizontal="center" readingOrder="0"/>
    </xf>
    <xf borderId="0" fillId="0" fontId="1" numFmtId="165" xfId="0" applyAlignment="1" applyFont="1" applyNumberFormat="1">
      <alignment horizontal="center" readingOrder="0"/>
    </xf>
    <xf borderId="12" fillId="0" fontId="6" numFmtId="0" xfId="0" applyBorder="1" applyFont="1"/>
    <xf borderId="15" fillId="0" fontId="6" numFmtId="0" xfId="0" applyAlignment="1" applyBorder="1" applyFont="1">
      <alignment horizontal="center" readingOrder="0"/>
    </xf>
    <xf borderId="15" fillId="0" fontId="1" numFmtId="0" xfId="0" applyAlignment="1" applyBorder="1" applyFont="1">
      <alignment horizontal="center" readingOrder="0"/>
    </xf>
    <xf borderId="14" fillId="0" fontId="6" numFmtId="0" xfId="0" applyBorder="1" applyFont="1"/>
    <xf borderId="12" fillId="0" fontId="11" numFmtId="165" xfId="0" applyAlignment="1" applyBorder="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6" numFmtId="0" xfId="0" applyAlignment="1" applyFont="1">
      <alignment readingOrder="0"/>
    </xf>
    <xf borderId="0" fillId="0" fontId="2" numFmtId="0" xfId="0" applyAlignment="1" applyFont="1">
      <alignment readingOrder="0"/>
    </xf>
    <xf borderId="0" fillId="2" fontId="12" numFmtId="2" xfId="0" applyAlignment="1" applyFont="1" applyNumberFormat="1">
      <alignment horizontal="center"/>
    </xf>
    <xf borderId="0" fillId="0" fontId="13" numFmtId="2" xfId="0" applyAlignment="1" applyFont="1" applyNumberFormat="1">
      <alignment horizontal="center" readingOrder="0"/>
    </xf>
    <xf borderId="0" fillId="0" fontId="8" numFmtId="2" xfId="0" applyAlignment="1" applyFont="1" applyNumberFormat="1">
      <alignment horizontal="center" readingOrder="0"/>
    </xf>
    <xf borderId="0" fillId="2" fontId="12" numFmtId="1" xfId="0" applyAlignment="1" applyFont="1" applyNumberFormat="1">
      <alignment horizontal="center"/>
    </xf>
    <xf borderId="0" fillId="0" fontId="11" numFmtId="0" xfId="0" applyAlignment="1" applyFont="1">
      <alignment readingOrder="0"/>
    </xf>
    <xf borderId="0" fillId="0" fontId="11" numFmtId="0" xfId="0" applyFont="1"/>
    <xf borderId="0" fillId="0" fontId="14" numFmtId="165" xfId="0" applyAlignment="1" applyFont="1" applyNumberFormat="1">
      <alignment horizontal="center" readingOrder="0"/>
    </xf>
    <xf borderId="0" fillId="0" fontId="14" numFmtId="0" xfId="0" applyAlignment="1" applyFont="1">
      <alignment readingOrder="0"/>
    </xf>
    <xf borderId="0" fillId="0" fontId="14" numFmtId="0" xfId="0" applyFont="1"/>
    <xf borderId="0" fillId="2" fontId="15" numFmtId="168" xfId="0" applyAlignment="1" applyFont="1" applyNumberFormat="1">
      <alignment horizontal="center"/>
    </xf>
    <xf borderId="0" fillId="2" fontId="15" numFmtId="168" xfId="0" applyAlignment="1" applyFont="1" applyNumberFormat="1">
      <alignment horizontal="center" readingOrder="0"/>
    </xf>
    <xf borderId="0" fillId="2" fontId="15" numFmtId="165" xfId="0" applyAlignment="1" applyFont="1" applyNumberFormat="1">
      <alignment horizontal="center"/>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4"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8.43"/>
    <col customWidth="1" min="10" max="10" width="8.71"/>
    <col customWidth="1" min="11" max="11" width="10.86"/>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3.14"/>
    <col customWidth="1" min="20" max="20" width="10.71"/>
    <col customWidth="1" min="21" max="21" width="11.14"/>
    <col customWidth="1" min="22" max="22" width="9.71"/>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-0.5082152975</v>
      </c>
      <c r="Q4" s="27">
        <f t="shared" ref="Q4:Q5" si="7"> 0.5 *C4  * H4^2</f>
        <v>1813</v>
      </c>
      <c r="R4" s="27">
        <f t="shared" ref="R4:S4" si="2">(1/12)*$C4*(3*$H4^2+$G4^2)</f>
        <v>18888.5</v>
      </c>
      <c r="S4" s="27">
        <f t="shared" si="2"/>
        <v>18888.5</v>
      </c>
      <c r="T4" s="25">
        <f t="shared" ref="T4:T14" si="9">Q4+C4*(O4^2+P4^2)</f>
        <v>2290.823159</v>
      </c>
      <c r="U4" s="25">
        <f t="shared" ref="U4:U14" si="10">R4+(C4*(N4^2+P4^2))</f>
        <v>19956.8598</v>
      </c>
      <c r="V4" s="25">
        <f t="shared" ref="V4:V14" si="11">$S4+$C4*($N4^2+$O4^2)</f>
        <v>19479.03664</v>
      </c>
      <c r="W4" s="25">
        <f t="shared" ref="W4:W14" si="12">C4*N4*O4</f>
        <v>0</v>
      </c>
      <c r="X4" s="25">
        <f t="shared" ref="X4:X14" si="13">C4*N4*P4</f>
        <v>531.1987224</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3.491784703</v>
      </c>
      <c r="Q5" s="27">
        <f t="shared" si="7"/>
        <v>4.5</v>
      </c>
      <c r="R5" s="27">
        <f t="shared" ref="R5:S5" si="8">(1/12)*$C5*(3*$H5^2+$G5^2)</f>
        <v>135.5833333</v>
      </c>
      <c r="S5" s="27">
        <f t="shared" si="8"/>
        <v>135.5833333</v>
      </c>
      <c r="T5" s="25">
        <f t="shared" si="9"/>
        <v>1223.756041</v>
      </c>
      <c r="U5" s="25">
        <f t="shared" si="10"/>
        <v>6026.581237</v>
      </c>
      <c r="V5" s="25">
        <f t="shared" si="11"/>
        <v>4807.325196</v>
      </c>
      <c r="W5" s="25">
        <f t="shared" si="12"/>
        <v>0</v>
      </c>
      <c r="X5" s="25">
        <f t="shared" si="13"/>
        <v>2386.63979</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2.491784703</v>
      </c>
      <c r="Q6" s="27">
        <f>(1/12)*C6*J6^2</f>
        <v>8493.333333</v>
      </c>
      <c r="R6" s="27">
        <f>(1/12)*C6*I6^2</f>
        <v>339.7333333</v>
      </c>
      <c r="S6" s="27">
        <f>(1/12)*C6*(J6^2+I6^2)</f>
        <v>8833.066667</v>
      </c>
      <c r="T6" s="25">
        <f t="shared" si="9"/>
        <v>11722.00866</v>
      </c>
      <c r="U6" s="25">
        <f t="shared" si="10"/>
        <v>3930.977956</v>
      </c>
      <c r="V6" s="25">
        <f t="shared" si="11"/>
        <v>9195.635967</v>
      </c>
      <c r="W6" s="25">
        <f t="shared" si="12"/>
        <v>0</v>
      </c>
      <c r="X6" s="25">
        <f t="shared" si="13"/>
        <v>1081.951271</v>
      </c>
      <c r="Y6" s="25">
        <f t="shared" si="14"/>
        <v>0</v>
      </c>
      <c r="Z6" s="1"/>
      <c r="AA6" s="1"/>
    </row>
    <row r="7">
      <c r="A7" s="16" t="s">
        <v>35</v>
      </c>
      <c r="B7" s="17" t="s">
        <v>31</v>
      </c>
      <c r="C7" s="18">
        <v>320.0</v>
      </c>
      <c r="D7" s="30">
        <v>5.96</v>
      </c>
      <c r="E7" s="24">
        <v>6.0</v>
      </c>
      <c r="F7" s="29">
        <v>1.2</v>
      </c>
      <c r="G7" s="22">
        <v>2.4</v>
      </c>
      <c r="H7" s="22">
        <v>0.6</v>
      </c>
      <c r="I7" s="23"/>
      <c r="J7" s="24"/>
      <c r="K7" s="25">
        <f t="shared" ref="K7:M7" si="16">$C7*D7</f>
        <v>1907.2</v>
      </c>
      <c r="L7" s="26">
        <f t="shared" si="16"/>
        <v>1920</v>
      </c>
      <c r="M7" s="25">
        <f t="shared" si="16"/>
        <v>384</v>
      </c>
      <c r="N7" s="27">
        <f t="shared" si="4"/>
        <v>-0.004985835694</v>
      </c>
      <c r="O7" s="28">
        <f t="shared" si="5"/>
        <v>6</v>
      </c>
      <c r="P7" s="27">
        <f t="shared" si="6"/>
        <v>0.6917847025</v>
      </c>
      <c r="Q7" s="27">
        <f t="shared" ref="Q7:Q10" si="19"> 0.5 *C7  * H7^2</f>
        <v>57.6</v>
      </c>
      <c r="R7" s="27">
        <f t="shared" ref="R7:S7" si="17">(1/12)*$C7*(3*$H7^2+$G7^2)</f>
        <v>182.4</v>
      </c>
      <c r="S7" s="27">
        <f t="shared" si="17"/>
        <v>182.4</v>
      </c>
      <c r="T7" s="25">
        <f t="shared" si="9"/>
        <v>11730.74114</v>
      </c>
      <c r="U7" s="25">
        <f t="shared" si="10"/>
        <v>335.5490986</v>
      </c>
      <c r="V7" s="25">
        <f t="shared" si="11"/>
        <v>11702.40795</v>
      </c>
      <c r="W7" s="25">
        <f t="shared" si="12"/>
        <v>-9.572804533</v>
      </c>
      <c r="X7" s="25">
        <f t="shared" si="13"/>
        <v>-1.103719956</v>
      </c>
      <c r="Y7" s="25">
        <f t="shared" si="14"/>
        <v>1328.226629</v>
      </c>
      <c r="Z7" s="1"/>
      <c r="AA7" s="1"/>
    </row>
    <row r="8">
      <c r="A8" s="16" t="s">
        <v>36</v>
      </c>
      <c r="B8" s="17" t="s">
        <v>31</v>
      </c>
      <c r="C8" s="18">
        <v>320.0</v>
      </c>
      <c r="D8" s="30">
        <v>5.96</v>
      </c>
      <c r="E8" s="24">
        <v>-6.0</v>
      </c>
      <c r="F8" s="29">
        <v>1.2</v>
      </c>
      <c r="G8" s="22">
        <v>2.4</v>
      </c>
      <c r="H8" s="22">
        <v>0.6</v>
      </c>
      <c r="I8" s="23"/>
      <c r="J8" s="24"/>
      <c r="K8" s="25">
        <f t="shared" ref="K8:M8" si="18">$C8*D8</f>
        <v>1907.2</v>
      </c>
      <c r="L8" s="26">
        <f t="shared" si="18"/>
        <v>-1920</v>
      </c>
      <c r="M8" s="25">
        <f t="shared" si="18"/>
        <v>384</v>
      </c>
      <c r="N8" s="27">
        <f t="shared" si="4"/>
        <v>-0.004985835694</v>
      </c>
      <c r="O8" s="28">
        <f t="shared" si="5"/>
        <v>-6</v>
      </c>
      <c r="P8" s="27">
        <f t="shared" si="6"/>
        <v>0.6917847025</v>
      </c>
      <c r="Q8" s="27">
        <f t="shared" si="19"/>
        <v>57.6</v>
      </c>
      <c r="R8" s="27">
        <f t="shared" ref="R8:S8" si="20">(1/12)*$C8*(3*$H8^2+$G8^2)</f>
        <v>182.4</v>
      </c>
      <c r="S8" s="27">
        <f t="shared" si="20"/>
        <v>182.4</v>
      </c>
      <c r="T8" s="25">
        <f t="shared" si="9"/>
        <v>11730.74114</v>
      </c>
      <c r="U8" s="25">
        <f t="shared" si="10"/>
        <v>335.5490986</v>
      </c>
      <c r="V8" s="25">
        <f t="shared" si="11"/>
        <v>11702.40795</v>
      </c>
      <c r="W8" s="25">
        <f t="shared" si="12"/>
        <v>9.572804533</v>
      </c>
      <c r="X8" s="25">
        <f t="shared" si="13"/>
        <v>-1.103719956</v>
      </c>
      <c r="Y8" s="25">
        <f t="shared" si="14"/>
        <v>-1328.226629</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0.3917847025</v>
      </c>
      <c r="Q9" s="27">
        <f t="shared" si="19"/>
        <v>2.25</v>
      </c>
      <c r="R9" s="27">
        <f t="shared" ref="R9:S9" si="22">(1/12)*$C9*(3*$H9^2+$G9^2)</f>
        <v>17.79166667</v>
      </c>
      <c r="S9" s="27">
        <f t="shared" si="22"/>
        <v>17.79166667</v>
      </c>
      <c r="T9" s="25">
        <f t="shared" si="9"/>
        <v>59.92476266</v>
      </c>
      <c r="U9" s="25">
        <f t="shared" si="10"/>
        <v>25.46767225</v>
      </c>
      <c r="V9" s="25">
        <f t="shared" si="11"/>
        <v>67.79290959</v>
      </c>
      <c r="W9" s="25">
        <f t="shared" si="12"/>
        <v>-0.2492917847</v>
      </c>
      <c r="X9" s="25">
        <f t="shared" si="13"/>
        <v>-0.09766870772</v>
      </c>
      <c r="Y9" s="25">
        <f t="shared" si="14"/>
        <v>19.58923513</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0.3917847025</v>
      </c>
      <c r="Q10" s="27">
        <f t="shared" si="19"/>
        <v>2.25</v>
      </c>
      <c r="R10" s="27">
        <f t="shared" ref="R10:S10" si="24">(1/12)*$C10*(3*$H10^2+$G10^2)</f>
        <v>17.79166667</v>
      </c>
      <c r="S10" s="27">
        <f t="shared" si="24"/>
        <v>17.79166667</v>
      </c>
      <c r="T10" s="25">
        <f t="shared" si="9"/>
        <v>59.92476266</v>
      </c>
      <c r="U10" s="25">
        <f t="shared" si="10"/>
        <v>25.46767225</v>
      </c>
      <c r="V10" s="25">
        <f t="shared" si="11"/>
        <v>67.79290959</v>
      </c>
      <c r="W10" s="25">
        <f t="shared" si="12"/>
        <v>0.2492917847</v>
      </c>
      <c r="X10" s="25">
        <f t="shared" si="13"/>
        <v>-0.09766870772</v>
      </c>
      <c r="Y10" s="25">
        <f t="shared" si="14"/>
        <v>-19.58923513</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-3.708215297</v>
      </c>
      <c r="Q11" s="27">
        <v>0.0</v>
      </c>
      <c r="R11" s="27">
        <v>0.0</v>
      </c>
      <c r="S11" s="27">
        <v>0.0</v>
      </c>
      <c r="T11" s="25">
        <f t="shared" si="9"/>
        <v>1359.268855</v>
      </c>
      <c r="U11" s="25">
        <f t="shared" si="10"/>
        <v>1803.360136</v>
      </c>
      <c r="V11" s="25">
        <f t="shared" si="11"/>
        <v>962.4912805</v>
      </c>
      <c r="W11" s="25">
        <f t="shared" si="12"/>
        <v>-426.9579603</v>
      </c>
      <c r="X11" s="25">
        <f t="shared" si="13"/>
        <v>879.5844666</v>
      </c>
      <c r="Y11" s="25">
        <f t="shared" si="14"/>
        <v>-533.9830028</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-3.708215297</v>
      </c>
      <c r="Q12" s="27">
        <v>0.0</v>
      </c>
      <c r="R12" s="27">
        <v>0.0</v>
      </c>
      <c r="S12" s="27">
        <v>0.0</v>
      </c>
      <c r="T12" s="25">
        <f t="shared" si="9"/>
        <v>1359.268855</v>
      </c>
      <c r="U12" s="25">
        <f t="shared" si="10"/>
        <v>1803.360136</v>
      </c>
      <c r="V12" s="25">
        <f t="shared" si="11"/>
        <v>962.4912805</v>
      </c>
      <c r="W12" s="25">
        <f t="shared" si="12"/>
        <v>426.9579603</v>
      </c>
      <c r="X12" s="25">
        <f t="shared" si="13"/>
        <v>879.5844666</v>
      </c>
      <c r="Y12" s="25">
        <f t="shared" si="14"/>
        <v>533.9830028</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-3.708215297</v>
      </c>
      <c r="Q13" s="27">
        <v>0.0</v>
      </c>
      <c r="R13" s="27">
        <v>0.0</v>
      </c>
      <c r="S13" s="27">
        <v>0.0</v>
      </c>
      <c r="T13" s="25">
        <f t="shared" si="9"/>
        <v>1359.268855</v>
      </c>
      <c r="U13" s="25">
        <f t="shared" si="10"/>
        <v>1614.1726</v>
      </c>
      <c r="V13" s="25">
        <f t="shared" si="11"/>
        <v>773.3037451</v>
      </c>
      <c r="W13" s="25">
        <f t="shared" si="12"/>
        <v>365.0420397</v>
      </c>
      <c r="X13" s="25">
        <f t="shared" si="13"/>
        <v>-752.0302643</v>
      </c>
      <c r="Y13" s="25">
        <f t="shared" si="14"/>
        <v>-533.9830028</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-3.708215297</v>
      </c>
      <c r="Q14" s="27">
        <v>0.0</v>
      </c>
      <c r="R14" s="27">
        <v>0.0</v>
      </c>
      <c r="S14" s="27">
        <v>0.0</v>
      </c>
      <c r="T14" s="25">
        <f t="shared" si="9"/>
        <v>1359.268855</v>
      </c>
      <c r="U14" s="25">
        <f t="shared" si="10"/>
        <v>1614.1726</v>
      </c>
      <c r="V14" s="25">
        <f t="shared" si="11"/>
        <v>773.3037451</v>
      </c>
      <c r="W14" s="25">
        <f t="shared" si="12"/>
        <v>-365.0420397</v>
      </c>
      <c r="X14" s="25">
        <f t="shared" si="13"/>
        <v>-752.0302643</v>
      </c>
      <c r="Y14" s="25">
        <f t="shared" si="14"/>
        <v>533.9830028</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0.5082152975</v>
      </c>
      <c r="G16" s="22"/>
      <c r="H16" s="22"/>
      <c r="I16" s="23"/>
      <c r="J16" s="24"/>
      <c r="K16" s="44">
        <f t="shared" ref="K16:M16" si="29">SUM(K3:K14)</f>
        <v>21056.4</v>
      </c>
      <c r="L16" s="22">
        <f t="shared" si="29"/>
        <v>0</v>
      </c>
      <c r="M16" s="44">
        <f t="shared" si="29"/>
        <v>1794</v>
      </c>
      <c r="N16" s="38"/>
      <c r="O16" s="38"/>
      <c r="P16" s="38"/>
      <c r="Q16" s="39"/>
      <c r="R16" s="39"/>
      <c r="S16" s="39"/>
      <c r="T16" s="45">
        <f t="shared" ref="T16:Y16" si="30">SUM(T3:T14)</f>
        <v>44254.99509</v>
      </c>
      <c r="U16" s="46">
        <f t="shared" si="30"/>
        <v>37471.51801</v>
      </c>
      <c r="V16" s="46">
        <f t="shared" si="30"/>
        <v>60493.98958</v>
      </c>
      <c r="W16" s="46">
        <f t="shared" si="30"/>
        <v>0</v>
      </c>
      <c r="X16" s="46">
        <f t="shared" si="30"/>
        <v>4252.495411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1"/>
      <c r="X19" s="1"/>
      <c r="Y19" s="1"/>
      <c r="Z19" s="1"/>
      <c r="AA19" s="1"/>
    </row>
    <row r="20" ht="15.75" customHeight="1">
      <c r="A20" s="57" t="s">
        <v>5</v>
      </c>
      <c r="B20" s="58" t="s">
        <v>48</v>
      </c>
      <c r="C20" s="59" t="s">
        <v>49</v>
      </c>
      <c r="D20" s="56"/>
      <c r="E20" s="59" t="s">
        <v>50</v>
      </c>
      <c r="F20" s="60"/>
      <c r="G20" s="56"/>
      <c r="H20" s="59" t="s">
        <v>51</v>
      </c>
      <c r="I20" s="56"/>
      <c r="J20" s="59" t="s">
        <v>52</v>
      </c>
      <c r="K20" s="56"/>
      <c r="L20" s="59" t="s">
        <v>45</v>
      </c>
      <c r="M20" s="56"/>
      <c r="N20" s="2"/>
      <c r="O20" s="2"/>
      <c r="S20" s="2"/>
      <c r="T20" s="2"/>
      <c r="U20" s="2"/>
      <c r="V20" s="2"/>
      <c r="W20" s="1"/>
      <c r="X20" s="1"/>
      <c r="Y20" s="1"/>
      <c r="Z20" s="1"/>
      <c r="AA20" s="1"/>
    </row>
    <row r="21" ht="15.75" customHeight="1">
      <c r="A21" s="61" t="s">
        <v>30</v>
      </c>
      <c r="B21" s="62">
        <f t="shared" ref="B21:B22" si="31">PI()*G4*(2*H4)</f>
        <v>95.00176184</v>
      </c>
      <c r="C21" s="63">
        <f>B21/'Scarab config xml'!$F$4</f>
        <v>3.029392916</v>
      </c>
      <c r="D21" s="56"/>
      <c r="E21" s="64">
        <f>('Formuls '!$B$18*G4)/'Formuls '!$B$19</f>
        <v>73972602.74</v>
      </c>
      <c r="F21" s="60"/>
      <c r="G21" s="56"/>
      <c r="H21" s="65">
        <f t="shared" ref="H21:H27" si="32">0.455 / POWER(LOG10(E21), 2.58)</f>
        <v>0.002220899336</v>
      </c>
      <c r="I21" s="56"/>
      <c r="J21" s="63">
        <f t="shared" ref="J21:J22" si="33">1 + (60 / POWER(($G4/(2*$H4)), 3)) + (0.0025 * ($G4/(2*$H4)))</f>
        <v>2.055215178</v>
      </c>
      <c r="K21" s="56"/>
      <c r="L21" s="66">
        <f t="shared" ref="L21:L27" si="34">H21*J21*C21</f>
        <v>0.01382743987</v>
      </c>
      <c r="M21" s="56"/>
      <c r="N21" s="2"/>
      <c r="O21" s="67" t="s">
        <v>53</v>
      </c>
      <c r="P21" s="5"/>
      <c r="Q21" s="6"/>
      <c r="R21" s="68" t="s">
        <v>54</v>
      </c>
      <c r="S21" s="5"/>
      <c r="T21" s="5"/>
      <c r="U21" s="5"/>
      <c r="V21" s="5"/>
      <c r="W21" s="6"/>
      <c r="X21" s="69">
        <v>4.6</v>
      </c>
      <c r="Y21" s="6"/>
      <c r="AA21" s="1"/>
    </row>
    <row r="22" ht="15.75" customHeight="1">
      <c r="A22" s="70" t="s">
        <v>32</v>
      </c>
      <c r="B22" s="62">
        <f t="shared" si="31"/>
        <v>7.539822369</v>
      </c>
      <c r="C22" s="63">
        <f>B22/'Scarab config xml'!$F$4</f>
        <v>0.2404280092</v>
      </c>
      <c r="D22" s="56"/>
      <c r="E22" s="64">
        <f>('Formuls '!$B$18*G5)/'Formuls '!$B$19</f>
        <v>27397260.27</v>
      </c>
      <c r="F22" s="60"/>
      <c r="G22" s="56"/>
      <c r="H22" s="65">
        <f t="shared" si="32"/>
        <v>0.002568612469</v>
      </c>
      <c r="I22" s="56"/>
      <c r="J22" s="63">
        <f t="shared" si="33"/>
        <v>1.219166667</v>
      </c>
      <c r="K22" s="56"/>
      <c r="L22" s="66">
        <f t="shared" si="34"/>
        <v>0.0007529163477</v>
      </c>
      <c r="M22" s="56"/>
      <c r="N22" s="2"/>
      <c r="O22" s="71"/>
      <c r="P22" s="72"/>
      <c r="Q22" s="73"/>
      <c r="R22" s="71"/>
      <c r="S22" s="72"/>
      <c r="T22" s="72"/>
      <c r="U22" s="72"/>
      <c r="V22" s="72"/>
      <c r="W22" s="73"/>
      <c r="X22" s="72"/>
      <c r="Y22" s="73"/>
      <c r="AA22" s="1"/>
    </row>
    <row r="23" ht="15.75" customHeight="1">
      <c r="A23" s="74" t="s">
        <v>33</v>
      </c>
      <c r="B23" s="75">
        <f>2*'Scarab config xml'!F4</f>
        <v>62.72</v>
      </c>
      <c r="C23" s="76">
        <f>B23/'Scarab config xml'!$F$4</f>
        <v>2</v>
      </c>
      <c r="D23" s="77"/>
      <c r="E23" s="78">
        <f>('Formuls '!$B$18*'Scarab config xml'!F6)/'Formuls '!$B$19</f>
        <v>19178082.19</v>
      </c>
      <c r="F23" s="79"/>
      <c r="G23" s="77"/>
      <c r="H23" s="80">
        <f t="shared" si="32"/>
        <v>0.002711944334</v>
      </c>
      <c r="I23" s="77"/>
      <c r="J23" s="76">
        <f>1 + (0.6 * (H6/'Scarab config xml'!F6)) + (100 * POWER((H6/'Scarab config xml'!F6), 4))</f>
        <v>1.05095403</v>
      </c>
      <c r="K23" s="77"/>
      <c r="L23" s="81">
        <f t="shared" si="34"/>
        <v>0.005700257652</v>
      </c>
      <c r="M23" s="77"/>
      <c r="N23" s="82"/>
      <c r="O23" s="83" t="s">
        <v>55</v>
      </c>
      <c r="P23" s="60"/>
      <c r="Q23" s="56"/>
      <c r="R23" s="84" t="s">
        <v>56</v>
      </c>
      <c r="S23" s="60"/>
      <c r="T23" s="60"/>
      <c r="U23" s="60"/>
      <c r="V23" s="60"/>
      <c r="W23" s="56"/>
      <c r="X23" s="85">
        <f>('Scarab config xml'!$F$5*'Scarab config xml'!$F$5)/'Scarab config xml'!$F$4</f>
        <v>6.25</v>
      </c>
      <c r="Y23" s="56"/>
      <c r="AA23" s="1"/>
    </row>
    <row r="24" ht="15.75" customHeight="1">
      <c r="A24" s="86" t="s">
        <v>35</v>
      </c>
      <c r="B24" s="87">
        <f t="shared" ref="B24:B27" si="35">PI()*G7*(2*H7)</f>
        <v>9.047786842</v>
      </c>
      <c r="C24" s="88">
        <f>B24/'Scarab config xml'!$F$4</f>
        <v>0.288513611</v>
      </c>
      <c r="D24" s="89"/>
      <c r="E24" s="90">
        <f>('Formuls '!$B$18*G7)/'Formuls '!$B$19</f>
        <v>16438356.16</v>
      </c>
      <c r="F24" s="55"/>
      <c r="G24" s="89"/>
      <c r="H24" s="91">
        <f t="shared" si="32"/>
        <v>0.002777335549</v>
      </c>
      <c r="I24" s="89"/>
      <c r="J24" s="92">
        <v>1.2</v>
      </c>
      <c r="K24" s="89"/>
      <c r="L24" s="93">
        <f t="shared" si="34"/>
        <v>0.0009615589299</v>
      </c>
      <c r="M24" s="89"/>
      <c r="N24" s="94"/>
      <c r="O24" s="67" t="s">
        <v>57</v>
      </c>
      <c r="P24" s="5"/>
      <c r="Q24" s="6"/>
      <c r="R24" s="68" t="s">
        <v>58</v>
      </c>
      <c r="S24" s="5"/>
      <c r="T24" s="5"/>
      <c r="U24" s="5"/>
      <c r="V24" s="5"/>
      <c r="W24" s="6"/>
      <c r="X24" s="95">
        <v>-0.09</v>
      </c>
      <c r="Y24" s="6"/>
      <c r="AA24" s="1"/>
    </row>
    <row r="25" ht="15.75" customHeight="1">
      <c r="A25" s="96" t="s">
        <v>36</v>
      </c>
      <c r="B25" s="97">
        <f t="shared" si="35"/>
        <v>9.047786842</v>
      </c>
      <c r="C25" s="98">
        <f>B25/'Scarab config xml'!$F$4</f>
        <v>0.288513611</v>
      </c>
      <c r="D25" s="77"/>
      <c r="E25" s="99">
        <f>('Formuls '!$B$18*G8)/'Formuls '!$B$19</f>
        <v>16438356.16</v>
      </c>
      <c r="F25" s="79"/>
      <c r="G25" s="77"/>
      <c r="H25" s="100">
        <f t="shared" si="32"/>
        <v>0.002777335549</v>
      </c>
      <c r="I25" s="77"/>
      <c r="J25" s="101">
        <v>1.2</v>
      </c>
      <c r="K25" s="77"/>
      <c r="L25" s="81">
        <f t="shared" si="34"/>
        <v>0.0009615589299</v>
      </c>
      <c r="M25" s="77"/>
      <c r="N25" s="82"/>
      <c r="O25" s="102"/>
      <c r="Q25" s="103"/>
      <c r="R25" s="102"/>
      <c r="W25" s="103"/>
      <c r="Y25" s="103"/>
      <c r="AA25" s="1"/>
    </row>
    <row r="26" ht="15.75" customHeight="1">
      <c r="A26" s="86" t="s">
        <v>37</v>
      </c>
      <c r="B26" s="87">
        <f t="shared" si="35"/>
        <v>3.769911184</v>
      </c>
      <c r="C26" s="88">
        <f>B26/'Scarab config xml'!$F$4</f>
        <v>0.1202140046</v>
      </c>
      <c r="D26" s="89"/>
      <c r="E26" s="90">
        <f>('Formuls '!$B$18*G9)/'Formuls '!$B$19</f>
        <v>13698630.14</v>
      </c>
      <c r="F26" s="55"/>
      <c r="G26" s="89"/>
      <c r="H26" s="91">
        <f t="shared" si="32"/>
        <v>0.002857535194</v>
      </c>
      <c r="I26" s="89"/>
      <c r="J26" s="92">
        <v>1.3</v>
      </c>
      <c r="K26" s="89"/>
      <c r="L26" s="93">
        <f t="shared" si="34"/>
        <v>0.0004465704736</v>
      </c>
      <c r="M26" s="89"/>
      <c r="N26" s="94"/>
      <c r="O26" s="102"/>
      <c r="Q26" s="103"/>
      <c r="R26" s="102"/>
      <c r="W26" s="103"/>
      <c r="Y26" s="103"/>
      <c r="AA26" s="1"/>
    </row>
    <row r="27" ht="15.75" customHeight="1">
      <c r="A27" s="96" t="s">
        <v>38</v>
      </c>
      <c r="B27" s="97">
        <f t="shared" si="35"/>
        <v>3.769911184</v>
      </c>
      <c r="C27" s="98">
        <f>B27/'Scarab config xml'!$F$4</f>
        <v>0.1202140046</v>
      </c>
      <c r="D27" s="77"/>
      <c r="E27" s="99">
        <f>('Formuls '!$B$18*G10)/'Formuls '!$B$19</f>
        <v>13698630.14</v>
      </c>
      <c r="F27" s="79"/>
      <c r="G27" s="77"/>
      <c r="H27" s="100">
        <f t="shared" si="32"/>
        <v>0.002857535194</v>
      </c>
      <c r="I27" s="77"/>
      <c r="J27" s="101">
        <v>1.3</v>
      </c>
      <c r="K27" s="77"/>
      <c r="L27" s="81">
        <f t="shared" si="34"/>
        <v>0.0004465704736</v>
      </c>
      <c r="M27" s="77"/>
      <c r="N27" s="82"/>
      <c r="O27" s="71"/>
      <c r="P27" s="72"/>
      <c r="Q27" s="73"/>
      <c r="R27" s="71"/>
      <c r="S27" s="72"/>
      <c r="T27" s="72"/>
      <c r="U27" s="72"/>
      <c r="V27" s="72"/>
      <c r="W27" s="73"/>
      <c r="X27" s="72"/>
      <c r="Y27" s="73"/>
      <c r="AA27" s="1"/>
    </row>
    <row r="28" ht="15.75" customHeight="1">
      <c r="A28" s="104"/>
      <c r="B28" s="105"/>
      <c r="C28" s="105"/>
      <c r="D28" s="105"/>
      <c r="E28" s="105"/>
      <c r="F28" s="105"/>
      <c r="G28" s="105"/>
      <c r="H28" s="105"/>
      <c r="I28" s="105"/>
      <c r="J28" s="105"/>
      <c r="K28" s="105"/>
      <c r="L28" s="54">
        <f>SUM(L21:M27)</f>
        <v>0.02309687267</v>
      </c>
      <c r="M28" s="89"/>
      <c r="N28" s="106"/>
      <c r="O28" s="107" t="s">
        <v>59</v>
      </c>
      <c r="P28" s="5"/>
      <c r="Q28" s="6"/>
      <c r="R28" s="108" t="s">
        <v>60</v>
      </c>
      <c r="S28" s="5"/>
      <c r="T28" s="5"/>
      <c r="U28" s="5"/>
      <c r="V28" s="5"/>
      <c r="W28" s="6"/>
      <c r="X28" s="109">
        <f>(2*X21)/(pi()*X23)</f>
        <v>0.4685521525</v>
      </c>
      <c r="Y28" s="6"/>
      <c r="AA28" s="1"/>
    </row>
    <row r="29" ht="15.75" customHeight="1">
      <c r="A29" s="110"/>
      <c r="B29" s="111" t="s">
        <v>61</v>
      </c>
      <c r="C29" s="112" t="s">
        <v>62</v>
      </c>
      <c r="D29" s="77"/>
      <c r="E29" s="112" t="s">
        <v>63</v>
      </c>
      <c r="F29" s="79"/>
      <c r="G29" s="79"/>
      <c r="H29" s="79"/>
      <c r="I29" s="79"/>
      <c r="J29" s="79"/>
      <c r="K29" s="77"/>
      <c r="L29" s="113"/>
      <c r="M29" s="113"/>
      <c r="N29" s="82"/>
      <c r="O29" s="102"/>
      <c r="Q29" s="103"/>
      <c r="R29" s="102"/>
      <c r="W29" s="103"/>
      <c r="Y29" s="103"/>
      <c r="AA29" s="1"/>
    </row>
    <row r="30" ht="15.75" customHeight="1">
      <c r="A30" s="86" t="s">
        <v>39</v>
      </c>
      <c r="B30" s="114">
        <f t="shared" ref="B30:B33" si="36">2*G11*2*H11</f>
        <v>0.48</v>
      </c>
      <c r="C30" s="115">
        <f>B30/'Scarab config xml'!$F$4</f>
        <v>0.01530612245</v>
      </c>
      <c r="D30" s="89"/>
      <c r="E30" s="116">
        <v>0.32</v>
      </c>
      <c r="F30" s="55"/>
      <c r="G30" s="55"/>
      <c r="H30" s="55"/>
      <c r="I30" s="55"/>
      <c r="J30" s="55"/>
      <c r="K30" s="89"/>
      <c r="L30" s="93">
        <f t="shared" ref="L30:L33" si="37">E30*C30</f>
        <v>0.004897959184</v>
      </c>
      <c r="M30" s="89"/>
      <c r="N30" s="94"/>
      <c r="O30" s="102"/>
      <c r="Q30" s="103"/>
      <c r="R30" s="102"/>
      <c r="W30" s="103"/>
      <c r="Y30" s="103"/>
      <c r="AA30" s="1"/>
    </row>
    <row r="31" ht="15.75" customHeight="1">
      <c r="A31" s="96" t="s">
        <v>41</v>
      </c>
      <c r="B31" s="117">
        <f t="shared" si="36"/>
        <v>0.48</v>
      </c>
      <c r="C31" s="118">
        <f>B31/'Scarab config xml'!$F$4</f>
        <v>0.01530612245</v>
      </c>
      <c r="D31" s="77"/>
      <c r="E31" s="119">
        <v>0.32</v>
      </c>
      <c r="F31" s="79"/>
      <c r="G31" s="79"/>
      <c r="H31" s="79"/>
      <c r="I31" s="79"/>
      <c r="J31" s="79"/>
      <c r="K31" s="77"/>
      <c r="L31" s="81">
        <f t="shared" si="37"/>
        <v>0.004897959184</v>
      </c>
      <c r="M31" s="77"/>
      <c r="N31" s="82"/>
      <c r="O31" s="102"/>
      <c r="Q31" s="103"/>
      <c r="R31" s="102"/>
      <c r="W31" s="103"/>
      <c r="Y31" s="103"/>
      <c r="AA31" s="1"/>
    </row>
    <row r="32" ht="15.75" customHeight="1">
      <c r="A32" s="86" t="s">
        <v>42</v>
      </c>
      <c r="B32" s="114">
        <f t="shared" si="36"/>
        <v>0.48</v>
      </c>
      <c r="C32" s="115">
        <f>B32/'Scarab config xml'!$F$4</f>
        <v>0.01530612245</v>
      </c>
      <c r="D32" s="89"/>
      <c r="E32" s="116">
        <v>0.32</v>
      </c>
      <c r="F32" s="55"/>
      <c r="G32" s="55"/>
      <c r="H32" s="55"/>
      <c r="I32" s="55"/>
      <c r="J32" s="55"/>
      <c r="K32" s="89"/>
      <c r="L32" s="93">
        <f t="shared" si="37"/>
        <v>0.004897959184</v>
      </c>
      <c r="M32" s="89"/>
      <c r="N32" s="94"/>
      <c r="O32" s="71"/>
      <c r="P32" s="72"/>
      <c r="Q32" s="73"/>
      <c r="R32" s="71"/>
      <c r="S32" s="72"/>
      <c r="T32" s="72"/>
      <c r="U32" s="72"/>
      <c r="V32" s="72"/>
      <c r="W32" s="73"/>
      <c r="X32" s="72"/>
      <c r="Y32" s="73"/>
      <c r="AA32" s="1"/>
    </row>
    <row r="33" ht="15.75" customHeight="1">
      <c r="A33" s="96" t="s">
        <v>43</v>
      </c>
      <c r="B33" s="117">
        <f t="shared" si="36"/>
        <v>0.48</v>
      </c>
      <c r="C33" s="118">
        <f>B33/'Scarab config xml'!$F$4</f>
        <v>0.01530612245</v>
      </c>
      <c r="D33" s="77"/>
      <c r="E33" s="119">
        <v>0.32</v>
      </c>
      <c r="F33" s="79"/>
      <c r="G33" s="79"/>
      <c r="H33" s="79"/>
      <c r="I33" s="79"/>
      <c r="J33" s="79"/>
      <c r="K33" s="77"/>
      <c r="L33" s="81">
        <f t="shared" si="37"/>
        <v>0.004897959184</v>
      </c>
      <c r="M33" s="77"/>
      <c r="N33" s="82"/>
      <c r="O33" s="120" t="s">
        <v>64</v>
      </c>
      <c r="P33" s="5"/>
      <c r="Q33" s="6"/>
      <c r="R33" s="108" t="s">
        <v>65</v>
      </c>
      <c r="S33" s="5"/>
      <c r="T33" s="5"/>
      <c r="U33" s="5"/>
      <c r="V33" s="5"/>
      <c r="W33" s="6"/>
      <c r="X33" s="121">
        <v>0.8</v>
      </c>
      <c r="Y33" s="6"/>
      <c r="AA33" s="1"/>
    </row>
    <row r="34" ht="15.75" customHeight="1">
      <c r="A34" s="122"/>
      <c r="B34" s="94"/>
      <c r="C34" s="94"/>
      <c r="D34" s="94"/>
      <c r="E34" s="94"/>
      <c r="F34" s="94"/>
      <c r="G34" s="94"/>
      <c r="H34" s="94"/>
      <c r="I34" s="94"/>
      <c r="J34" s="94"/>
      <c r="K34" s="94"/>
      <c r="L34" s="54">
        <f>SUM(L30:M33)+L28</f>
        <v>0.04268870941</v>
      </c>
      <c r="M34" s="89"/>
      <c r="N34" s="106"/>
      <c r="O34" s="102"/>
      <c r="Q34" s="103"/>
      <c r="R34" s="102"/>
      <c r="W34" s="103"/>
      <c r="Y34" s="103"/>
      <c r="AA34" s="1"/>
    </row>
    <row r="35" ht="15.75" customHeight="1">
      <c r="A35" s="1"/>
      <c r="B35" s="1"/>
      <c r="C35" s="2"/>
      <c r="D35" s="2"/>
      <c r="E35" s="2"/>
      <c r="F35" s="2"/>
      <c r="G35" s="2"/>
      <c r="H35" s="2"/>
      <c r="I35" s="2"/>
      <c r="J35" s="2"/>
      <c r="K35" s="2"/>
      <c r="L35" s="2"/>
      <c r="M35" s="2"/>
      <c r="N35" s="2"/>
      <c r="O35" s="71"/>
      <c r="P35" s="72"/>
      <c r="Q35" s="73"/>
      <c r="R35" s="71"/>
      <c r="S35" s="72"/>
      <c r="T35" s="72"/>
      <c r="U35" s="72"/>
      <c r="V35" s="72"/>
      <c r="W35" s="73"/>
      <c r="X35" s="72"/>
      <c r="Y35" s="73"/>
      <c r="AA35" s="1"/>
    </row>
    <row r="36" ht="15.75" customHeight="1">
      <c r="A36" s="49" t="s">
        <v>66</v>
      </c>
      <c r="B36" s="50"/>
      <c r="C36" s="50"/>
      <c r="D36" s="51"/>
      <c r="E36" s="51"/>
      <c r="F36" s="51"/>
      <c r="G36" s="51"/>
      <c r="H36" s="51"/>
      <c r="I36" s="54">
        <f>I37+I38</f>
        <v>0.19375</v>
      </c>
      <c r="J36" s="89"/>
      <c r="K36" s="2"/>
      <c r="L36" s="2"/>
      <c r="M36" s="2"/>
      <c r="N36" s="2"/>
      <c r="O36" s="123" t="s">
        <v>67</v>
      </c>
      <c r="P36" s="60"/>
      <c r="Q36" s="56"/>
      <c r="R36" s="124" t="s">
        <v>68</v>
      </c>
      <c r="S36" s="60"/>
      <c r="T36" s="60"/>
      <c r="U36" s="60"/>
      <c r="V36" s="60"/>
      <c r="W36" s="56"/>
      <c r="X36" s="85">
        <f>$X$21*$X$33</f>
        <v>3.68</v>
      </c>
      <c r="Y36" s="56"/>
      <c r="AA36" s="1"/>
    </row>
    <row r="37" ht="15.75" customHeight="1">
      <c r="A37" s="125" t="s">
        <v>69</v>
      </c>
      <c r="B37" s="1"/>
      <c r="C37" s="2"/>
      <c r="D37" s="2"/>
      <c r="E37" s="2"/>
      <c r="F37" s="2"/>
      <c r="G37" s="2"/>
      <c r="H37" s="61" t="s">
        <v>30</v>
      </c>
      <c r="I37" s="126">
        <f>$X$69*((2*$H$4*$G$4)/'Scarab config xml'!$F$4)</f>
        <v>0.1446428571</v>
      </c>
      <c r="J37" s="77"/>
      <c r="K37" s="2"/>
      <c r="L37" s="2"/>
      <c r="M37" s="2"/>
      <c r="N37" s="2"/>
      <c r="O37" s="127" t="s">
        <v>70</v>
      </c>
      <c r="P37" s="60"/>
      <c r="Q37" s="56"/>
      <c r="R37" s="128" t="s">
        <v>71</v>
      </c>
      <c r="S37" s="60"/>
      <c r="T37" s="60"/>
      <c r="U37" s="60"/>
      <c r="V37" s="60"/>
      <c r="W37" s="56"/>
      <c r="X37" s="129">
        <f>('Scarab config xml'!$F$7*'Scarab config xml'!$F$8)/('Scarab config xml'!$F$4*'Scarab config xml'!$F$6)</f>
        <v>0.5845708819</v>
      </c>
      <c r="Y37" s="56"/>
      <c r="AA37" s="1"/>
    </row>
    <row r="38" ht="15.75" customHeight="1">
      <c r="A38" s="130" t="s">
        <v>72</v>
      </c>
      <c r="H38" s="70" t="s">
        <v>32</v>
      </c>
      <c r="I38" s="131">
        <f>X71*('Scarab config xml'!F9/'Scarab config xml'!F4)</f>
        <v>0.04910714286</v>
      </c>
      <c r="J38" s="89"/>
      <c r="K38" s="2"/>
      <c r="L38" s="2"/>
      <c r="M38" s="2"/>
      <c r="N38" s="2"/>
      <c r="O38" s="132" t="s">
        <v>73</v>
      </c>
      <c r="P38" s="5"/>
      <c r="Q38" s="6"/>
      <c r="R38" s="68" t="s">
        <v>74</v>
      </c>
      <c r="S38" s="5"/>
      <c r="T38" s="5"/>
      <c r="U38" s="5"/>
      <c r="V38" s="5"/>
      <c r="W38" s="6"/>
      <c r="X38" s="121">
        <v>0.13</v>
      </c>
      <c r="Y38" s="6"/>
      <c r="AA38" s="1"/>
    </row>
    <row r="39" ht="15.75" customHeight="1">
      <c r="H39" s="2"/>
      <c r="I39" s="2"/>
      <c r="J39" s="2"/>
      <c r="K39" s="2"/>
      <c r="L39" s="2"/>
      <c r="M39" s="2"/>
      <c r="N39" s="2"/>
      <c r="O39" s="102"/>
      <c r="Q39" s="103"/>
      <c r="R39" s="102"/>
      <c r="W39" s="103"/>
      <c r="Y39" s="103"/>
      <c r="AA39" s="1"/>
    </row>
    <row r="40" ht="15.75" customHeight="1">
      <c r="A40" s="49" t="s">
        <v>75</v>
      </c>
      <c r="B40" s="50"/>
      <c r="C40" s="50"/>
      <c r="D40" s="51"/>
      <c r="E40" s="51"/>
      <c r="F40" s="51"/>
      <c r="G40" s="51"/>
      <c r="H40" s="51"/>
      <c r="I40" s="54">
        <f>X45*('Scarab config xml'!F7/'Scarab config xml'!F4)</f>
        <v>0.04703443878</v>
      </c>
      <c r="J40" s="89"/>
      <c r="K40" s="2"/>
      <c r="L40" s="2"/>
      <c r="M40" s="2"/>
      <c r="N40" s="2"/>
      <c r="O40" s="102"/>
      <c r="Q40" s="103"/>
      <c r="R40" s="102"/>
      <c r="W40" s="103"/>
      <c r="Y40" s="103"/>
      <c r="AA40" s="1"/>
    </row>
    <row r="41" ht="15.75" customHeight="1">
      <c r="A41" s="133" t="s">
        <v>76</v>
      </c>
      <c r="B41" s="52"/>
      <c r="C41" s="2"/>
      <c r="D41" s="2"/>
      <c r="E41" s="2"/>
      <c r="F41" s="2"/>
      <c r="G41" s="2"/>
      <c r="H41" s="2"/>
      <c r="I41" s="2"/>
      <c r="J41" s="2"/>
      <c r="K41" s="2"/>
      <c r="L41" s="2"/>
      <c r="M41" s="2"/>
      <c r="N41" s="2"/>
      <c r="O41" s="71"/>
      <c r="P41" s="72"/>
      <c r="Q41" s="73"/>
      <c r="R41" s="71"/>
      <c r="S41" s="72"/>
      <c r="T41" s="72"/>
      <c r="U41" s="72"/>
      <c r="V41" s="72"/>
      <c r="W41" s="73"/>
      <c r="X41" s="72"/>
      <c r="Y41" s="73"/>
      <c r="AA41" s="1"/>
    </row>
    <row r="42" ht="15.75" customHeight="1">
      <c r="A42" s="2"/>
      <c r="B42" s="2"/>
      <c r="C42" s="2"/>
      <c r="D42" s="2"/>
      <c r="E42" s="2"/>
      <c r="F42" s="2"/>
      <c r="G42" s="2"/>
      <c r="H42" s="2"/>
      <c r="I42" s="2"/>
      <c r="J42" s="2"/>
      <c r="K42" s="2"/>
      <c r="L42" s="2"/>
      <c r="M42" s="2"/>
      <c r="N42" s="2"/>
      <c r="O42" s="123" t="s">
        <v>77</v>
      </c>
      <c r="P42" s="60"/>
      <c r="Q42" s="56"/>
      <c r="R42" s="84" t="s">
        <v>78</v>
      </c>
      <c r="S42" s="60"/>
      <c r="T42" s="60"/>
      <c r="U42" s="60"/>
      <c r="V42" s="60"/>
      <c r="W42" s="56"/>
      <c r="X42" s="85">
        <f>'Scarab config xml'!F10/'Scarab config xml'!F6</f>
        <v>3.107142857</v>
      </c>
      <c r="Y42" s="56"/>
      <c r="AA42" s="1"/>
    </row>
    <row r="43" ht="15.75" customHeight="1">
      <c r="A43" s="49" t="s">
        <v>79</v>
      </c>
      <c r="B43" s="50"/>
      <c r="C43" s="134" t="s">
        <v>80</v>
      </c>
      <c r="I43" s="54">
        <v>0.48</v>
      </c>
      <c r="J43" s="89"/>
      <c r="K43" s="2"/>
      <c r="L43" s="2"/>
      <c r="M43" s="2"/>
      <c r="N43" s="2"/>
      <c r="O43" s="120" t="s">
        <v>81</v>
      </c>
      <c r="P43" s="5"/>
      <c r="Q43" s="6"/>
      <c r="R43" s="108" t="s">
        <v>82</v>
      </c>
      <c r="S43" s="5"/>
      <c r="T43" s="5"/>
      <c r="U43" s="5"/>
      <c r="V43" s="5"/>
      <c r="W43" s="6"/>
      <c r="X43" s="95">
        <v>0.6</v>
      </c>
      <c r="Y43" s="6"/>
      <c r="AA43" s="1"/>
    </row>
    <row r="44" ht="15.75" customHeight="1">
      <c r="A44" s="133" t="s">
        <v>83</v>
      </c>
      <c r="B44" s="135"/>
      <c r="C44" s="133"/>
      <c r="D44" s="133"/>
      <c r="E44" s="133"/>
      <c r="F44" s="133"/>
      <c r="G44" s="133"/>
      <c r="H44" s="2"/>
      <c r="I44" s="136"/>
      <c r="J44" s="137"/>
      <c r="K44" s="2"/>
      <c r="L44" s="2"/>
      <c r="M44" s="2"/>
      <c r="N44" s="2"/>
      <c r="O44" s="71"/>
      <c r="P44" s="72"/>
      <c r="Q44" s="73"/>
      <c r="R44" s="71"/>
      <c r="S44" s="72"/>
      <c r="T44" s="72"/>
      <c r="U44" s="72"/>
      <c r="V44" s="72"/>
      <c r="W44" s="73"/>
      <c r="X44" s="72"/>
      <c r="Y44" s="73"/>
      <c r="AA44" s="1"/>
    </row>
    <row r="45" ht="15.75" customHeight="1">
      <c r="A45" s="133"/>
      <c r="B45" s="133"/>
      <c r="C45" s="133"/>
      <c r="D45" s="133"/>
      <c r="E45" s="133"/>
      <c r="F45" s="133"/>
      <c r="G45" s="133"/>
      <c r="H45" s="2"/>
      <c r="I45" s="2"/>
      <c r="J45" s="2"/>
      <c r="K45" s="2"/>
      <c r="L45" s="2"/>
      <c r="M45" s="2"/>
      <c r="N45" s="2"/>
      <c r="O45" s="67" t="s">
        <v>84</v>
      </c>
      <c r="P45" s="5"/>
      <c r="Q45" s="6"/>
      <c r="R45" s="138" t="s">
        <v>85</v>
      </c>
      <c r="S45" s="5"/>
      <c r="T45" s="5"/>
      <c r="U45" s="5"/>
      <c r="V45" s="5"/>
      <c r="W45" s="6"/>
      <c r="X45" s="139">
        <v>0.25</v>
      </c>
      <c r="Y45" s="6"/>
      <c r="AA45" s="1"/>
    </row>
    <row r="46" ht="15.75" customHeight="1">
      <c r="A46" s="49" t="s">
        <v>86</v>
      </c>
      <c r="B46" s="50"/>
      <c r="C46" s="134" t="s">
        <v>87</v>
      </c>
      <c r="I46" s="54">
        <f>2*$X$36*$X$28*$X$37</f>
        <v>2.015918315</v>
      </c>
      <c r="J46" s="89"/>
      <c r="K46" s="2"/>
      <c r="L46" s="2"/>
      <c r="M46" s="2"/>
      <c r="N46" s="2"/>
      <c r="O46" s="71"/>
      <c r="P46" s="72"/>
      <c r="Q46" s="73"/>
      <c r="R46" s="71"/>
      <c r="S46" s="72"/>
      <c r="T46" s="72"/>
      <c r="U46" s="72"/>
      <c r="V46" s="72"/>
      <c r="W46" s="73"/>
      <c r="X46" s="71"/>
      <c r="Y46" s="73"/>
      <c r="AA46" s="1"/>
    </row>
    <row r="47" ht="15.75" customHeight="1">
      <c r="A47" s="125" t="s">
        <v>88</v>
      </c>
      <c r="B47" s="133"/>
      <c r="C47" s="133"/>
      <c r="D47" s="133"/>
      <c r="E47" s="133"/>
      <c r="F47" s="133"/>
      <c r="G47" s="133"/>
      <c r="H47" s="2"/>
      <c r="I47" s="2"/>
      <c r="J47" s="2"/>
      <c r="K47" s="2"/>
      <c r="L47" s="2"/>
      <c r="M47" s="2"/>
      <c r="N47" s="2"/>
      <c r="O47" s="67" t="s">
        <v>89</v>
      </c>
      <c r="P47" s="5"/>
      <c r="Q47" s="6"/>
      <c r="R47" s="140" t="s">
        <v>90</v>
      </c>
      <c r="S47" s="5"/>
      <c r="T47" s="5"/>
      <c r="U47" s="5"/>
      <c r="V47" s="5"/>
      <c r="W47" s="6"/>
      <c r="X47" s="95">
        <v>0.4</v>
      </c>
      <c r="Y47" s="6"/>
      <c r="AA47" s="1"/>
    </row>
    <row r="48" ht="15.75" customHeight="1">
      <c r="A48" s="133"/>
      <c r="B48" s="133"/>
      <c r="C48" s="133"/>
      <c r="D48" s="3"/>
      <c r="E48" s="2"/>
      <c r="F48" s="2"/>
      <c r="G48" s="2"/>
      <c r="H48" s="2"/>
      <c r="I48" s="2"/>
      <c r="J48" s="2"/>
      <c r="K48" s="2"/>
      <c r="L48" s="2"/>
      <c r="M48" s="2"/>
      <c r="N48" s="2"/>
      <c r="O48" s="102"/>
      <c r="Q48" s="103"/>
      <c r="R48" s="102"/>
      <c r="W48" s="103"/>
      <c r="Y48" s="103"/>
      <c r="AA48" s="1"/>
    </row>
    <row r="49" ht="15.75" customHeight="1">
      <c r="A49" s="49" t="s">
        <v>91</v>
      </c>
      <c r="B49" s="50"/>
      <c r="C49" s="134" t="s">
        <v>92</v>
      </c>
      <c r="I49" s="54">
        <f>(I50+I51)*M49</f>
        <v>6.602441691</v>
      </c>
      <c r="J49" s="89"/>
      <c r="K49" s="141" t="s">
        <v>93</v>
      </c>
      <c r="L49" s="89"/>
      <c r="M49" s="142">
        <v>1.0</v>
      </c>
      <c r="N49" s="2"/>
      <c r="O49" s="102"/>
      <c r="Q49" s="103"/>
      <c r="R49" s="102"/>
      <c r="W49" s="103"/>
      <c r="Y49" s="103"/>
      <c r="AA49" s="1"/>
    </row>
    <row r="50" ht="15.75" customHeight="1">
      <c r="A50" s="125" t="s">
        <v>94</v>
      </c>
      <c r="B50" s="1"/>
      <c r="C50" s="2"/>
      <c r="D50" s="2"/>
      <c r="E50" s="2"/>
      <c r="F50" s="2"/>
      <c r="G50" s="143" t="s">
        <v>33</v>
      </c>
      <c r="H50" s="56"/>
      <c r="I50" s="126">
        <f>0.5*$X$21</f>
        <v>2.3</v>
      </c>
      <c r="J50" s="77"/>
      <c r="K50" s="144"/>
      <c r="L50" s="144"/>
      <c r="M50" s="144"/>
      <c r="N50" s="2"/>
      <c r="O50" s="123" t="s">
        <v>95</v>
      </c>
      <c r="P50" s="60"/>
      <c r="Q50" s="56"/>
      <c r="R50" s="84" t="s">
        <v>96</v>
      </c>
      <c r="S50" s="60"/>
      <c r="T50" s="60"/>
      <c r="U50" s="60"/>
      <c r="V50" s="60"/>
      <c r="W50" s="56"/>
      <c r="X50" s="145">
        <v>0.3</v>
      </c>
      <c r="Y50" s="56"/>
      <c r="AA50" s="1"/>
    </row>
    <row r="51" ht="15.75" customHeight="1">
      <c r="A51" s="146" t="s">
        <v>97</v>
      </c>
      <c r="B51" s="2"/>
      <c r="C51" s="2"/>
      <c r="D51" s="2"/>
      <c r="E51" s="2"/>
      <c r="F51" s="2"/>
      <c r="G51" s="147" t="s">
        <v>32</v>
      </c>
      <c r="H51" s="56"/>
      <c r="I51" s="93">
        <f>2*X37*X36</f>
        <v>4.302441691</v>
      </c>
      <c r="J51" s="89"/>
      <c r="K51" s="94"/>
      <c r="L51" s="94"/>
      <c r="M51" s="94"/>
      <c r="N51" s="2"/>
      <c r="O51" s="107" t="s">
        <v>98</v>
      </c>
      <c r="P51" s="5"/>
      <c r="Q51" s="6"/>
      <c r="R51" s="108" t="s">
        <v>99</v>
      </c>
      <c r="S51" s="5"/>
      <c r="T51" s="5"/>
      <c r="U51" s="5"/>
      <c r="V51" s="5"/>
      <c r="W51" s="6"/>
      <c r="X51" s="95">
        <v>0.25</v>
      </c>
      <c r="Y51" s="6"/>
      <c r="AA51" s="1"/>
    </row>
    <row r="52" ht="15.75" customHeight="1">
      <c r="A52" s="1"/>
      <c r="B52" s="1"/>
      <c r="C52" s="2"/>
      <c r="D52" s="2"/>
      <c r="E52" s="2"/>
      <c r="F52" s="2"/>
      <c r="G52" s="2"/>
      <c r="H52" s="2"/>
      <c r="I52" s="2"/>
      <c r="J52" s="2"/>
      <c r="K52" s="2"/>
      <c r="L52" s="2"/>
      <c r="M52" s="2"/>
      <c r="N52" s="2"/>
      <c r="O52" s="71"/>
      <c r="P52" s="72"/>
      <c r="Q52" s="73"/>
      <c r="R52" s="71"/>
      <c r="S52" s="72"/>
      <c r="T52" s="72"/>
      <c r="U52" s="72"/>
      <c r="V52" s="72"/>
      <c r="W52" s="73"/>
      <c r="X52" s="72"/>
      <c r="Y52" s="73"/>
      <c r="AA52" s="1"/>
    </row>
    <row r="53" ht="15.75" customHeight="1">
      <c r="A53" s="49" t="s">
        <v>100</v>
      </c>
      <c r="B53" s="50"/>
      <c r="C53" s="134" t="s">
        <v>101</v>
      </c>
      <c r="I53" s="54">
        <f>$X$36*('Scarab config xml'!$F$7/'Scarab config xml'!$F$4)*$X$43</f>
        <v>0.4154081633</v>
      </c>
      <c r="J53" s="89"/>
      <c r="K53" s="2"/>
      <c r="L53" s="2"/>
      <c r="M53" s="2"/>
      <c r="N53" s="2"/>
      <c r="O53" s="107" t="s">
        <v>102</v>
      </c>
      <c r="P53" s="5"/>
      <c r="Q53" s="6"/>
      <c r="R53" s="108" t="s">
        <v>103</v>
      </c>
      <c r="S53" s="5"/>
      <c r="T53" s="5"/>
      <c r="U53" s="5"/>
      <c r="V53" s="5"/>
      <c r="W53" s="6"/>
      <c r="X53" s="109">
        <f>1-($X$51/2)</f>
        <v>0.875</v>
      </c>
      <c r="Y53" s="6"/>
      <c r="AA53" s="1"/>
    </row>
    <row r="54" ht="17.25" customHeight="1">
      <c r="A54" s="133" t="s">
        <v>104</v>
      </c>
      <c r="B54" s="1"/>
      <c r="C54" s="2"/>
      <c r="D54" s="2"/>
      <c r="E54" s="2"/>
      <c r="F54" s="2"/>
      <c r="G54" s="2"/>
      <c r="H54" s="2"/>
      <c r="I54" s="2"/>
      <c r="J54" s="2"/>
      <c r="K54" s="2"/>
      <c r="L54" s="2"/>
      <c r="M54" s="2"/>
      <c r="N54" s="2"/>
      <c r="O54" s="71"/>
      <c r="P54" s="72"/>
      <c r="Q54" s="73"/>
      <c r="R54" s="71"/>
      <c r="S54" s="72"/>
      <c r="T54" s="72"/>
      <c r="U54" s="72"/>
      <c r="V54" s="72"/>
      <c r="W54" s="73"/>
      <c r="X54" s="72"/>
      <c r="Y54" s="73"/>
      <c r="AA54" s="1"/>
    </row>
    <row r="55" ht="15.75" customHeight="1">
      <c r="A55" s="1"/>
      <c r="B55" s="1"/>
      <c r="C55" s="2"/>
      <c r="D55" s="2"/>
      <c r="E55" s="2"/>
      <c r="F55" s="2"/>
      <c r="G55" s="2"/>
      <c r="H55" s="2"/>
      <c r="I55" s="2"/>
      <c r="J55" s="2"/>
      <c r="K55" s="2"/>
      <c r="L55" s="2"/>
      <c r="M55" s="2"/>
      <c r="N55" s="2"/>
      <c r="O55" s="127" t="s">
        <v>105</v>
      </c>
      <c r="P55" s="60"/>
      <c r="Q55" s="56"/>
      <c r="R55" s="128" t="s">
        <v>106</v>
      </c>
      <c r="S55" s="60"/>
      <c r="T55" s="60"/>
      <c r="U55" s="60"/>
      <c r="V55" s="60"/>
      <c r="W55" s="56"/>
      <c r="X55" s="129">
        <f>'Scarab config xml'!$D$14-$F$16</f>
        <v>2.991784703</v>
      </c>
      <c r="Y55" s="56"/>
      <c r="AA55" s="1"/>
    </row>
    <row r="56" ht="15.75" customHeight="1">
      <c r="A56" s="49" t="s">
        <v>107</v>
      </c>
      <c r="B56" s="50"/>
      <c r="C56" s="134" t="s">
        <v>108</v>
      </c>
      <c r="I56" s="54">
        <v>-0.2</v>
      </c>
      <c r="J56" s="89"/>
      <c r="K56" s="2"/>
      <c r="L56" s="2"/>
      <c r="M56" s="2"/>
      <c r="N56" s="2"/>
      <c r="O56" s="67" t="s">
        <v>109</v>
      </c>
      <c r="P56" s="5"/>
      <c r="Q56" s="6"/>
      <c r="R56" s="108" t="s">
        <v>110</v>
      </c>
      <c r="S56" s="5"/>
      <c r="T56" s="5"/>
      <c r="U56" s="5"/>
      <c r="V56" s="5"/>
      <c r="W56" s="6"/>
      <c r="X56" s="109">
        <f>('Scarab config xml'!$F$9*'Scarab config xml'!$F$10)/('Scarab config xml'!$F$4*'Scarab config xml'!$F$5)</f>
        <v>0.08719023324</v>
      </c>
      <c r="Y56" s="6"/>
      <c r="AA56" s="1"/>
    </row>
    <row r="57" ht="15.75" customHeight="1">
      <c r="A57" s="125" t="s">
        <v>111</v>
      </c>
      <c r="B57" s="1"/>
      <c r="C57" s="2"/>
      <c r="D57" s="2"/>
      <c r="E57" s="2"/>
      <c r="L57" s="2"/>
      <c r="N57" s="2"/>
      <c r="O57" s="102"/>
      <c r="Q57" s="103"/>
      <c r="R57" s="102"/>
      <c r="W57" s="103"/>
      <c r="Y57" s="103"/>
      <c r="AA57" s="1"/>
    </row>
    <row r="58" ht="15.75" customHeight="1">
      <c r="F58" s="2"/>
      <c r="G58" s="2"/>
      <c r="H58" s="2"/>
      <c r="I58" s="2"/>
      <c r="J58" s="2"/>
      <c r="K58" s="2"/>
      <c r="L58" s="2"/>
      <c r="M58" s="2"/>
      <c r="N58" s="2"/>
      <c r="O58" s="102"/>
      <c r="Q58" s="103"/>
      <c r="R58" s="102"/>
      <c r="W58" s="103"/>
      <c r="Y58" s="103"/>
      <c r="AA58" s="1"/>
    </row>
    <row r="59" ht="15.75" customHeight="1">
      <c r="A59" s="49" t="s">
        <v>112</v>
      </c>
      <c r="B59" s="50"/>
      <c r="C59" s="134" t="s">
        <v>113</v>
      </c>
      <c r="I59" s="54">
        <f>SUM(I60:J61)</f>
        <v>0.1439196723</v>
      </c>
      <c r="J59" s="89"/>
      <c r="K59" s="2"/>
      <c r="L59" s="2"/>
      <c r="M59" s="2"/>
      <c r="N59" s="2"/>
      <c r="O59" s="71"/>
      <c r="P59" s="72"/>
      <c r="Q59" s="73"/>
      <c r="R59" s="71"/>
      <c r="S59" s="72"/>
      <c r="T59" s="72"/>
      <c r="U59" s="72"/>
      <c r="V59" s="72"/>
      <c r="W59" s="73"/>
      <c r="X59" s="72"/>
      <c r="Y59" s="73"/>
      <c r="AA59" s="1"/>
    </row>
    <row r="60" ht="15.75" customHeight="1">
      <c r="A60" s="133" t="s">
        <v>114</v>
      </c>
      <c r="B60" s="1"/>
      <c r="C60" s="2"/>
      <c r="D60" s="2"/>
      <c r="E60" s="2"/>
      <c r="F60" s="2"/>
      <c r="G60" s="143" t="s">
        <v>33</v>
      </c>
      <c r="H60" s="56"/>
      <c r="I60" s="126">
        <v>0.0</v>
      </c>
      <c r="J60" s="77"/>
      <c r="K60" s="2"/>
      <c r="L60" s="2"/>
      <c r="M60" s="2"/>
      <c r="O60" s="67" t="s">
        <v>115</v>
      </c>
      <c r="P60" s="5"/>
      <c r="Q60" s="6"/>
      <c r="R60" s="68" t="s">
        <v>116</v>
      </c>
      <c r="S60" s="5"/>
      <c r="T60" s="5"/>
      <c r="U60" s="5"/>
      <c r="V60" s="5"/>
      <c r="W60" s="6"/>
      <c r="X60" s="95">
        <v>8.0</v>
      </c>
      <c r="Y60" s="6"/>
      <c r="AA60" s="1"/>
    </row>
    <row r="61" ht="15.75" customHeight="1">
      <c r="A61" s="148" t="s">
        <v>117</v>
      </c>
      <c r="G61" s="143" t="s">
        <v>118</v>
      </c>
      <c r="H61" s="56"/>
      <c r="I61" s="93">
        <f>2*$X$62*$X$33*('Scarab config xml'!$F$9/'Scarab config xml'!$F$4)*($X$55/'Scarab config xml'!$F$5)</f>
        <v>0.1439196723</v>
      </c>
      <c r="J61" s="89"/>
      <c r="K61" s="2"/>
      <c r="L61" s="2"/>
      <c r="M61" s="2"/>
      <c r="N61" s="2"/>
      <c r="O61" s="71"/>
      <c r="P61" s="72"/>
      <c r="Q61" s="73"/>
      <c r="R61" s="71"/>
      <c r="S61" s="72"/>
      <c r="T61" s="72"/>
      <c r="U61" s="72"/>
      <c r="V61" s="72"/>
      <c r="W61" s="73"/>
      <c r="X61" s="72"/>
      <c r="Y61" s="73"/>
      <c r="AA61" s="1"/>
    </row>
    <row r="62" ht="15.75" customHeight="1">
      <c r="K62" s="2"/>
      <c r="L62" s="2"/>
      <c r="M62" s="2"/>
      <c r="N62" s="2"/>
      <c r="O62" s="67" t="s">
        <v>119</v>
      </c>
      <c r="P62" s="5"/>
      <c r="Q62" s="6"/>
      <c r="R62" s="108" t="s">
        <v>120</v>
      </c>
      <c r="S62" s="5"/>
      <c r="T62" s="5"/>
      <c r="U62" s="5"/>
      <c r="V62" s="5"/>
      <c r="W62" s="6"/>
      <c r="X62" s="95">
        <v>3.0</v>
      </c>
      <c r="Y62" s="6"/>
      <c r="AA62" s="1"/>
    </row>
    <row r="63" ht="15.75" customHeight="1">
      <c r="A63" s="1"/>
      <c r="B63" s="2"/>
      <c r="C63" s="2"/>
      <c r="D63" s="2"/>
      <c r="E63" s="2"/>
      <c r="F63" s="2"/>
      <c r="G63" s="2"/>
      <c r="H63" s="2"/>
      <c r="I63" s="2"/>
      <c r="J63" s="2"/>
      <c r="K63" s="2"/>
      <c r="L63" s="2"/>
      <c r="M63" s="2"/>
      <c r="N63" s="2"/>
      <c r="O63" s="71"/>
      <c r="P63" s="72"/>
      <c r="Q63" s="73"/>
      <c r="R63" s="71"/>
      <c r="S63" s="72"/>
      <c r="T63" s="72"/>
      <c r="U63" s="72"/>
      <c r="V63" s="72"/>
      <c r="W63" s="73"/>
      <c r="X63" s="72"/>
      <c r="Y63" s="73"/>
      <c r="AA63" s="1"/>
    </row>
    <row r="64" ht="15.75" customHeight="1">
      <c r="A64" s="49" t="s">
        <v>121</v>
      </c>
      <c r="B64" s="50"/>
      <c r="C64" s="134" t="s">
        <v>122</v>
      </c>
      <c r="I64" s="54">
        <f>2*$X$33*$X$62*('Scarab config xml'!$F$9/'Scarab config xml'!$F$4)*('Scarab config xml'!$F$10/'Scarab config xml'!$F$5)</f>
        <v>0.4185131195</v>
      </c>
      <c r="J64" s="89"/>
      <c r="K64" s="2"/>
      <c r="L64" s="2"/>
      <c r="M64" s="2"/>
      <c r="N64" s="2"/>
      <c r="O64" s="120" t="s">
        <v>123</v>
      </c>
      <c r="P64" s="5"/>
      <c r="Q64" s="6"/>
      <c r="R64" s="108" t="s">
        <v>124</v>
      </c>
      <c r="S64" s="5"/>
      <c r="T64" s="5"/>
      <c r="U64" s="5"/>
      <c r="V64" s="5"/>
      <c r="W64" s="6"/>
      <c r="X64" s="95">
        <v>0.15</v>
      </c>
      <c r="Y64" s="6"/>
      <c r="Z64" s="1"/>
      <c r="AA64" s="1"/>
    </row>
    <row r="65" ht="15.75" customHeight="1">
      <c r="A65" s="125" t="s">
        <v>125</v>
      </c>
      <c r="B65" s="1"/>
      <c r="C65" s="2"/>
      <c r="D65" s="2"/>
      <c r="E65" s="2"/>
      <c r="F65" s="2"/>
      <c r="G65" s="2"/>
      <c r="H65" s="2"/>
      <c r="I65" s="2"/>
      <c r="J65" s="2"/>
      <c r="K65" s="2"/>
      <c r="L65" s="2"/>
      <c r="M65" s="2"/>
      <c r="O65" s="102"/>
      <c r="Q65" s="103"/>
      <c r="R65" s="102"/>
      <c r="W65" s="103"/>
      <c r="Y65" s="103"/>
      <c r="Z65" s="1"/>
      <c r="AA65" s="1"/>
    </row>
    <row r="66" ht="15.75" customHeight="1">
      <c r="B66" s="1"/>
      <c r="C66" s="2"/>
      <c r="D66" s="2"/>
      <c r="E66" s="2"/>
      <c r="F66" s="2"/>
      <c r="G66" s="2"/>
      <c r="H66" s="2"/>
      <c r="I66" s="2"/>
      <c r="J66" s="2"/>
      <c r="K66" s="2"/>
      <c r="L66" s="2"/>
      <c r="M66" s="48"/>
      <c r="O66" s="71"/>
      <c r="P66" s="72"/>
      <c r="Q66" s="73"/>
      <c r="R66" s="71"/>
      <c r="S66" s="72"/>
      <c r="T66" s="72"/>
      <c r="U66" s="72"/>
      <c r="V66" s="72"/>
      <c r="W66" s="73"/>
      <c r="X66" s="72"/>
      <c r="Y66" s="73"/>
      <c r="Z66" s="1"/>
      <c r="AA66" s="1"/>
    </row>
    <row r="67" ht="15.75" customHeight="1">
      <c r="A67" s="49" t="s">
        <v>126</v>
      </c>
      <c r="B67" s="50"/>
      <c r="C67" s="134" t="s">
        <v>127</v>
      </c>
      <c r="I67" s="54">
        <f>$X$33*$X$62*$X$47*('Scarab config xml'!$F$9/'Scarab config xml'!$F$4)</f>
        <v>0.1346938776</v>
      </c>
      <c r="J67" s="89"/>
      <c r="K67" s="2"/>
      <c r="L67" s="2"/>
      <c r="M67" s="2"/>
      <c r="N67" s="2"/>
      <c r="O67" s="67" t="s">
        <v>128</v>
      </c>
      <c r="P67" s="5"/>
      <c r="Q67" s="6"/>
      <c r="R67" s="108" t="s">
        <v>129</v>
      </c>
      <c r="S67" s="5"/>
      <c r="T67" s="5"/>
      <c r="U67" s="5"/>
      <c r="V67" s="5"/>
      <c r="W67" s="6"/>
      <c r="X67" s="95">
        <v>0.057</v>
      </c>
      <c r="Y67" s="6"/>
      <c r="Z67" s="1"/>
      <c r="AA67" s="1"/>
    </row>
    <row r="68" ht="15.75" customHeight="1">
      <c r="A68" s="125" t="s">
        <v>130</v>
      </c>
      <c r="B68" s="1"/>
      <c r="C68" s="2"/>
      <c r="D68" s="2"/>
      <c r="E68" s="2"/>
      <c r="F68" s="2"/>
      <c r="G68" s="2"/>
      <c r="H68" s="2"/>
      <c r="I68" s="2"/>
      <c r="J68" s="2"/>
      <c r="K68" s="2"/>
      <c r="L68" s="2"/>
      <c r="M68" s="2"/>
      <c r="N68" s="2"/>
      <c r="O68" s="71"/>
      <c r="P68" s="72"/>
      <c r="Q68" s="73"/>
      <c r="R68" s="71"/>
      <c r="S68" s="72"/>
      <c r="T68" s="72"/>
      <c r="U68" s="72"/>
      <c r="V68" s="72"/>
      <c r="W68" s="73"/>
      <c r="X68" s="72"/>
      <c r="Y68" s="73"/>
      <c r="Z68" s="1"/>
      <c r="AA68" s="1"/>
    </row>
    <row r="69" ht="15.75" customHeight="1">
      <c r="A69" s="1"/>
      <c r="B69" s="1"/>
      <c r="C69" s="2"/>
      <c r="D69" s="2"/>
      <c r="E69" s="2"/>
      <c r="F69" s="2"/>
      <c r="G69" s="2"/>
      <c r="H69" s="2"/>
      <c r="I69" s="2"/>
      <c r="J69" s="2"/>
      <c r="K69" s="2"/>
      <c r="L69" s="2"/>
      <c r="M69" s="2"/>
      <c r="N69" s="2"/>
      <c r="O69" s="67" t="s">
        <v>131</v>
      </c>
      <c r="P69" s="5"/>
      <c r="Q69" s="6"/>
      <c r="R69" s="149" t="s">
        <v>132</v>
      </c>
      <c r="S69" s="5"/>
      <c r="T69" s="5"/>
      <c r="U69" s="5"/>
      <c r="V69" s="5"/>
      <c r="W69" s="6"/>
      <c r="X69" s="95">
        <v>0.15</v>
      </c>
      <c r="Y69" s="6"/>
      <c r="Z69" s="1"/>
      <c r="AA69" s="1"/>
    </row>
    <row r="70" ht="15.75" customHeight="1">
      <c r="A70" s="49" t="s">
        <v>133</v>
      </c>
      <c r="B70" s="50"/>
      <c r="C70" s="134"/>
      <c r="I70" s="2"/>
      <c r="J70" s="150" t="s">
        <v>134</v>
      </c>
      <c r="K70" s="151"/>
      <c r="L70" s="2"/>
      <c r="N70" s="2"/>
      <c r="O70" s="71"/>
      <c r="P70" s="72"/>
      <c r="Q70" s="73"/>
      <c r="R70" s="71"/>
      <c r="S70" s="72"/>
      <c r="T70" s="72"/>
      <c r="U70" s="72"/>
      <c r="V70" s="72"/>
      <c r="W70" s="73"/>
      <c r="X70" s="72"/>
      <c r="Y70" s="73"/>
    </row>
    <row r="71" ht="15.75" customHeight="1">
      <c r="A71" s="125" t="s">
        <v>135</v>
      </c>
      <c r="B71" s="1"/>
      <c r="C71" s="2"/>
      <c r="D71" s="2"/>
      <c r="E71" s="2"/>
      <c r="F71" s="2"/>
      <c r="G71" s="2"/>
      <c r="H71" s="2"/>
      <c r="I71" s="152" t="s">
        <v>136</v>
      </c>
      <c r="J71" s="153">
        <v>0.0</v>
      </c>
      <c r="K71" s="154">
        <v>0.0943</v>
      </c>
      <c r="N71" s="2"/>
      <c r="O71" s="67" t="s">
        <v>137</v>
      </c>
      <c r="P71" s="5"/>
      <c r="Q71" s="6"/>
      <c r="R71" s="149" t="s">
        <v>138</v>
      </c>
      <c r="S71" s="5"/>
      <c r="T71" s="5"/>
      <c r="U71" s="5"/>
      <c r="V71" s="5"/>
      <c r="W71" s="6"/>
      <c r="X71" s="95">
        <v>0.35</v>
      </c>
      <c r="Y71" s="6"/>
    </row>
    <row r="72" ht="15.75" customHeight="1">
      <c r="A72" s="2"/>
      <c r="B72" s="2"/>
      <c r="C72" s="2"/>
      <c r="D72" s="2"/>
      <c r="E72" s="2"/>
      <c r="F72" s="2"/>
      <c r="G72" s="2"/>
      <c r="H72" s="2"/>
      <c r="I72" s="155">
        <v>-0.349</v>
      </c>
      <c r="J72" s="156">
        <f>I72*(($I$56*($X$55/'Scarab config xml'!$F$5))+$X$67)</f>
        <v>-0.004976816269</v>
      </c>
      <c r="K72" s="156">
        <f t="shared" ref="K72:K74" si="38">J72*0.96</f>
        <v>-0.004777743618</v>
      </c>
      <c r="N72" s="2"/>
      <c r="O72" s="71"/>
      <c r="P72" s="72"/>
      <c r="Q72" s="73"/>
      <c r="R72" s="71"/>
      <c r="S72" s="72"/>
      <c r="T72" s="72"/>
      <c r="U72" s="72"/>
      <c r="V72" s="72"/>
      <c r="W72" s="73"/>
      <c r="X72" s="72"/>
      <c r="Y72" s="73"/>
    </row>
    <row r="73" ht="15.75" customHeight="1">
      <c r="A73" s="2"/>
      <c r="B73" s="2"/>
      <c r="C73" s="2"/>
      <c r="D73" s="2"/>
      <c r="E73" s="2"/>
      <c r="F73" s="2"/>
      <c r="G73" s="2"/>
      <c r="H73" s="2"/>
      <c r="I73" s="155">
        <v>0.0</v>
      </c>
      <c r="J73" s="156">
        <f>I73*(($I$56*($X$55/'Scarab config xml'!$F$5))+$X$67)</f>
        <v>0</v>
      </c>
      <c r="K73" s="156">
        <f t="shared" si="38"/>
        <v>0</v>
      </c>
      <c r="O73" s="157" t="s">
        <v>139</v>
      </c>
      <c r="P73" s="5"/>
      <c r="Q73" s="6"/>
      <c r="R73" s="149" t="s">
        <v>140</v>
      </c>
      <c r="S73" s="5"/>
      <c r="T73" s="5"/>
      <c r="U73" s="5"/>
      <c r="V73" s="5"/>
      <c r="W73" s="6"/>
      <c r="X73" s="95">
        <v>1.17</v>
      </c>
      <c r="Y73" s="6"/>
      <c r="Z73" s="1"/>
      <c r="AA73" s="1"/>
    </row>
    <row r="74" ht="15.75" customHeight="1">
      <c r="A74" s="2"/>
      <c r="B74" s="2"/>
      <c r="C74" s="2"/>
      <c r="D74" s="2"/>
      <c r="E74" s="2"/>
      <c r="F74" s="2"/>
      <c r="G74" s="2"/>
      <c r="H74" s="2"/>
      <c r="I74" s="158">
        <v>0.349</v>
      </c>
      <c r="J74" s="156">
        <f>I74*(($I$56*($X$55/'Scarab config xml'!$F$5))+$X$67)</f>
        <v>0.004976816269</v>
      </c>
      <c r="K74" s="156">
        <f t="shared" si="38"/>
        <v>0.004777743618</v>
      </c>
      <c r="O74" s="102"/>
      <c r="Q74" s="103"/>
      <c r="R74" s="102"/>
      <c r="W74" s="103"/>
      <c r="Y74" s="103"/>
      <c r="Z74" s="1"/>
      <c r="AA74" s="1"/>
    </row>
    <row r="75" ht="15.75" customHeight="1">
      <c r="A75" s="2"/>
      <c r="B75" s="2"/>
      <c r="C75" s="2"/>
      <c r="D75" s="2"/>
      <c r="E75" s="2"/>
      <c r="F75" s="2"/>
      <c r="G75" s="2"/>
      <c r="H75" s="2"/>
      <c r="I75" s="2"/>
      <c r="J75" s="2"/>
      <c r="K75" s="2"/>
      <c r="L75" s="159"/>
      <c r="M75" s="159"/>
      <c r="O75" s="71"/>
      <c r="P75" s="72"/>
      <c r="Q75" s="73"/>
      <c r="R75" s="71"/>
      <c r="S75" s="72"/>
      <c r="T75" s="72"/>
      <c r="U75" s="72"/>
      <c r="V75" s="72"/>
      <c r="W75" s="73"/>
      <c r="X75" s="72"/>
      <c r="Y75" s="73"/>
      <c r="Z75" s="1"/>
      <c r="AA75" s="1"/>
    </row>
    <row r="76" ht="15.75" customHeight="1">
      <c r="A76" s="2"/>
      <c r="B76" s="2"/>
      <c r="C76" s="2"/>
      <c r="D76" s="2"/>
      <c r="E76" s="2"/>
      <c r="F76" s="2"/>
      <c r="G76" s="2"/>
      <c r="H76" s="2"/>
      <c r="I76" s="2"/>
      <c r="J76" s="2"/>
      <c r="K76" s="2"/>
      <c r="L76" s="2"/>
      <c r="M76" s="2"/>
      <c r="O76" s="67" t="s">
        <v>141</v>
      </c>
      <c r="P76" s="5"/>
      <c r="Q76" s="6"/>
      <c r="R76" s="68" t="s">
        <v>142</v>
      </c>
      <c r="S76" s="5"/>
      <c r="T76" s="5"/>
      <c r="U76" s="5"/>
      <c r="V76" s="5"/>
      <c r="W76" s="6"/>
      <c r="X76" s="95">
        <v>-0.7</v>
      </c>
      <c r="Y76" s="6"/>
      <c r="Z76" s="1"/>
      <c r="AA76" s="1"/>
    </row>
    <row r="77" ht="15.75" customHeight="1">
      <c r="A77" s="49" t="s">
        <v>143</v>
      </c>
      <c r="B77" s="50"/>
      <c r="C77" s="134"/>
      <c r="I77" s="54">
        <f>-0.25-(0.04*(('Scarab config xml'!$F$5*'Scarab config xml'!$F$5)/'Scarab config xml'!$F$4))</f>
        <v>-0.5</v>
      </c>
      <c r="J77" s="89"/>
      <c r="K77" s="2"/>
      <c r="L77" s="2"/>
      <c r="M77" s="2"/>
      <c r="O77" s="71"/>
      <c r="P77" s="72"/>
      <c r="Q77" s="73"/>
      <c r="R77" s="71"/>
      <c r="S77" s="72"/>
      <c r="T77" s="72"/>
      <c r="U77" s="72"/>
      <c r="V77" s="72"/>
      <c r="W77" s="73"/>
      <c r="X77" s="72"/>
      <c r="Y77" s="73"/>
      <c r="Z77" s="1"/>
      <c r="AA77" s="1"/>
    </row>
    <row r="78" ht="15.75" customHeight="1">
      <c r="A78" s="125" t="s">
        <v>144</v>
      </c>
      <c r="B78" s="1"/>
      <c r="C78" s="2"/>
      <c r="D78" s="2"/>
      <c r="E78" s="2"/>
      <c r="F78" s="2"/>
      <c r="G78" s="2"/>
      <c r="H78" s="2"/>
      <c r="K78" s="2"/>
      <c r="L78" s="2"/>
      <c r="M78" s="2"/>
      <c r="N78" s="159"/>
      <c r="O78" s="83" t="s">
        <v>145</v>
      </c>
      <c r="P78" s="60"/>
      <c r="Q78" s="56"/>
      <c r="R78" s="108" t="s">
        <v>146</v>
      </c>
      <c r="S78" s="5"/>
      <c r="T78" s="5"/>
      <c r="U78" s="5"/>
      <c r="V78" s="5"/>
      <c r="W78" s="6"/>
      <c r="X78" s="129">
        <f>('Scarab config xml'!$D$14-$F$16)+($X$80/2)</f>
        <v>4.986784703</v>
      </c>
      <c r="Y78" s="56"/>
      <c r="Z78" s="1"/>
      <c r="AA78" s="1"/>
    </row>
    <row r="79" ht="15.75" customHeight="1">
      <c r="A79" s="1"/>
      <c r="B79" s="1"/>
      <c r="C79" s="2"/>
      <c r="D79" s="2"/>
      <c r="E79" s="2"/>
      <c r="F79" s="2"/>
      <c r="G79" s="2"/>
      <c r="H79" s="2"/>
      <c r="K79" s="2"/>
      <c r="L79" s="2"/>
      <c r="M79" s="2"/>
      <c r="N79" s="2"/>
      <c r="O79" s="83" t="s">
        <v>147</v>
      </c>
      <c r="P79" s="60"/>
      <c r="Q79" s="56"/>
      <c r="R79" s="71"/>
      <c r="S79" s="72"/>
      <c r="T79" s="72"/>
      <c r="U79" s="72"/>
      <c r="V79" s="72"/>
      <c r="W79" s="73"/>
      <c r="X79" s="129">
        <f>('Scarab config xml'!$D$14-$F$16)-$H$5</f>
        <v>2.691784703</v>
      </c>
      <c r="Y79" s="56"/>
      <c r="Z79" s="1"/>
      <c r="AA79" s="1"/>
    </row>
    <row r="80" ht="15.75" customHeight="1">
      <c r="A80" s="49" t="s">
        <v>148</v>
      </c>
      <c r="B80" s="50"/>
      <c r="C80" s="134"/>
      <c r="I80" s="54">
        <f>($X$21*$X$50*$X$51*$X$53)/2</f>
        <v>0.1509375</v>
      </c>
      <c r="J80" s="89"/>
      <c r="K80" s="2"/>
      <c r="L80" s="2"/>
      <c r="M80" s="2"/>
      <c r="N80" s="2"/>
      <c r="O80" s="83" t="s">
        <v>149</v>
      </c>
      <c r="P80" s="60"/>
      <c r="Q80" s="56"/>
      <c r="R80" s="160"/>
      <c r="S80" s="161" t="s">
        <v>11</v>
      </c>
      <c r="T80" s="162">
        <v>2.1</v>
      </c>
      <c r="U80" s="161" t="s">
        <v>150</v>
      </c>
      <c r="V80" s="162">
        <v>1.9</v>
      </c>
      <c r="W80" s="163"/>
      <c r="X80" s="164">
        <f t="shared" ref="X80:X81" si="39">T80*V80</f>
        <v>3.99</v>
      </c>
      <c r="Y80" s="56"/>
      <c r="Z80" s="1"/>
      <c r="AA80" s="1"/>
    </row>
    <row r="81" ht="15.75" customHeight="1">
      <c r="A81" s="125" t="s">
        <v>151</v>
      </c>
      <c r="B81" s="1"/>
      <c r="C81" s="2"/>
      <c r="D81" s="2"/>
      <c r="E81" s="2"/>
      <c r="F81" s="2"/>
      <c r="G81" s="2"/>
      <c r="H81" s="2"/>
      <c r="I81" s="2"/>
      <c r="J81" s="2"/>
      <c r="K81" s="2"/>
      <c r="L81" s="2"/>
      <c r="M81" s="2"/>
      <c r="N81" s="2"/>
      <c r="O81" s="83" t="s">
        <v>152</v>
      </c>
      <c r="P81" s="60"/>
      <c r="Q81" s="56"/>
      <c r="R81" s="160"/>
      <c r="S81" s="161" t="s">
        <v>11</v>
      </c>
      <c r="T81" s="162">
        <v>1.0</v>
      </c>
      <c r="U81" s="161" t="s">
        <v>150</v>
      </c>
      <c r="V81" s="162">
        <v>0.5</v>
      </c>
      <c r="W81" s="163"/>
      <c r="X81" s="164">
        <f t="shared" si="39"/>
        <v>0.5</v>
      </c>
      <c r="Y81" s="56"/>
    </row>
    <row r="82" ht="15.75" customHeight="1">
      <c r="A82" s="1"/>
      <c r="B82" s="1"/>
      <c r="C82" s="2"/>
      <c r="D82" s="2"/>
      <c r="E82" s="2"/>
      <c r="F82" s="2"/>
      <c r="G82" s="2"/>
      <c r="H82" s="2"/>
      <c r="I82" s="2"/>
      <c r="J82" s="2"/>
      <c r="K82" s="2"/>
      <c r="L82" s="2"/>
      <c r="M82" s="2"/>
      <c r="N82" s="2"/>
    </row>
    <row r="83" ht="15.75" customHeight="1">
      <c r="A83" s="49" t="s">
        <v>153</v>
      </c>
      <c r="B83" s="50"/>
      <c r="C83" s="134" t="s">
        <v>154</v>
      </c>
      <c r="I83" s="54">
        <f>-1*$I$67*($X$55/'Scarab config xml'!$F$5)</f>
        <v>-0.02878393446</v>
      </c>
      <c r="J83" s="89"/>
      <c r="K83" s="2"/>
      <c r="L83" s="2"/>
      <c r="M83" s="2"/>
      <c r="N83" s="2"/>
    </row>
    <row r="84" ht="15.75" customHeight="1">
      <c r="A84" s="125" t="s">
        <v>155</v>
      </c>
      <c r="B84" s="1"/>
      <c r="C84" s="2"/>
      <c r="D84" s="2"/>
      <c r="E84" s="2"/>
      <c r="F84" s="2"/>
      <c r="G84" s="2"/>
      <c r="H84" s="2"/>
      <c r="K84" s="2"/>
      <c r="L84" s="2"/>
      <c r="M84" s="2"/>
      <c r="N84" s="2"/>
      <c r="P84" s="2"/>
      <c r="Q84" s="2"/>
    </row>
    <row r="85" ht="15.75" customHeight="1">
      <c r="A85" s="1"/>
      <c r="B85" s="1"/>
      <c r="C85" s="2"/>
      <c r="D85" s="2"/>
      <c r="E85" s="2"/>
      <c r="F85" s="2"/>
      <c r="G85" s="2"/>
      <c r="H85" s="2"/>
      <c r="I85" s="2"/>
      <c r="J85" s="2"/>
      <c r="K85" s="2"/>
      <c r="L85" s="2"/>
      <c r="M85" s="2"/>
      <c r="N85" s="2"/>
      <c r="O85" s="2"/>
      <c r="P85" s="2"/>
      <c r="Q85" s="2"/>
      <c r="R85" s="2"/>
    </row>
    <row r="86" ht="15.75" customHeight="1">
      <c r="A86" s="49" t="s">
        <v>156</v>
      </c>
      <c r="B86" s="50"/>
      <c r="C86" s="134" t="s">
        <v>157</v>
      </c>
      <c r="I86" s="54">
        <f>$X$38+$X$24</f>
        <v>0.04</v>
      </c>
      <c r="J86" s="89"/>
      <c r="K86" s="2"/>
      <c r="L86" s="2"/>
      <c r="M86" s="2"/>
      <c r="N86" s="2"/>
      <c r="O86" s="2"/>
      <c r="P86" s="2"/>
      <c r="Q86" s="2"/>
      <c r="R86" s="2"/>
    </row>
    <row r="87" ht="15.75" customHeight="1">
      <c r="A87" s="125" t="s">
        <v>158</v>
      </c>
      <c r="B87" s="1"/>
      <c r="C87" s="2"/>
      <c r="D87" s="2"/>
      <c r="E87" s="2"/>
      <c r="F87" s="2"/>
      <c r="G87" s="2"/>
      <c r="H87" s="2"/>
      <c r="I87" s="2"/>
      <c r="J87" s="2"/>
      <c r="K87" s="2"/>
      <c r="L87" s="2"/>
      <c r="M87" s="2"/>
      <c r="N87" s="2"/>
      <c r="O87" s="2"/>
      <c r="P87" s="2"/>
      <c r="Q87" s="2"/>
      <c r="R87" s="2"/>
      <c r="S87" s="2"/>
      <c r="T87" s="2"/>
      <c r="U87" s="2"/>
      <c r="V87" s="2"/>
      <c r="W87" s="1"/>
      <c r="X87" s="1"/>
      <c r="Y87" s="1"/>
      <c r="Z87" s="1"/>
      <c r="AA87" s="1"/>
    </row>
    <row r="88" ht="15.75" customHeight="1">
      <c r="A88" s="1"/>
      <c r="B88" s="1"/>
      <c r="C88" s="2"/>
      <c r="D88" s="2"/>
      <c r="E88" s="2"/>
      <c r="F88" s="2"/>
      <c r="G88" s="2"/>
      <c r="H88" s="2"/>
      <c r="I88" s="2"/>
      <c r="J88" s="2"/>
      <c r="K88" s="2"/>
      <c r="L88" s="2"/>
      <c r="M88" s="2"/>
      <c r="N88" s="2"/>
      <c r="O88" s="2"/>
      <c r="P88" s="2"/>
      <c r="Q88" s="2"/>
      <c r="R88" s="2"/>
      <c r="S88" s="2"/>
      <c r="T88" s="2"/>
      <c r="U88" s="2"/>
      <c r="V88" s="2"/>
      <c r="W88" s="1"/>
      <c r="X88" s="1"/>
      <c r="Y88" s="1"/>
      <c r="Z88" s="1"/>
      <c r="AA88" s="1"/>
    </row>
    <row r="89" ht="15.75" customHeight="1">
      <c r="A89" s="49" t="s">
        <v>159</v>
      </c>
      <c r="B89" s="50"/>
      <c r="C89" s="134"/>
      <c r="I89" s="54">
        <f>-1*X21*(((('Scarab config xml'!D12-D16)/'Scarab config xml'!F6))*M89)</f>
        <v>-0.7146661271</v>
      </c>
      <c r="J89" s="89"/>
      <c r="K89" s="141" t="s">
        <v>93</v>
      </c>
      <c r="L89" s="89"/>
      <c r="M89" s="142">
        <v>1.0</v>
      </c>
      <c r="N89" s="2"/>
      <c r="O89" s="2"/>
      <c r="P89" s="2"/>
      <c r="Q89" s="2"/>
      <c r="R89" s="2"/>
      <c r="S89" s="2"/>
      <c r="T89" s="2"/>
      <c r="U89" s="1"/>
      <c r="V89" s="2"/>
      <c r="W89" s="1"/>
      <c r="X89" s="1"/>
      <c r="Y89" s="1"/>
      <c r="Z89" s="1"/>
      <c r="AA89" s="1"/>
    </row>
    <row r="90" ht="15.75" customHeight="1">
      <c r="A90" s="125" t="s">
        <v>160</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N92" s="2"/>
      <c r="O92" s="2"/>
      <c r="P92" s="2"/>
      <c r="Q92" s="2"/>
      <c r="R92" s="2"/>
      <c r="S92" s="2"/>
      <c r="T92" s="2"/>
      <c r="U92" s="2"/>
      <c r="V92" s="2"/>
      <c r="W92" s="1"/>
      <c r="X92" s="1"/>
      <c r="Y92" s="1"/>
      <c r="Z92" s="1"/>
      <c r="AA92" s="1"/>
    </row>
    <row r="93" ht="15.75" customHeight="1">
      <c r="A93" s="49" t="s">
        <v>161</v>
      </c>
      <c r="B93" s="50"/>
      <c r="C93" s="134"/>
      <c r="I93" s="54">
        <f>-2*X36*X28*X37*X42</f>
        <v>-6.263746193</v>
      </c>
      <c r="J93" s="89"/>
      <c r="K93" s="2"/>
      <c r="L93" s="2"/>
      <c r="M93" s="2"/>
      <c r="N93" s="2"/>
      <c r="O93" s="2"/>
      <c r="P93" s="2"/>
      <c r="Q93" s="2"/>
      <c r="R93" s="2"/>
      <c r="S93" s="2"/>
      <c r="T93" s="2"/>
      <c r="U93" s="2"/>
      <c r="V93" s="2"/>
      <c r="W93" s="1"/>
      <c r="X93" s="1"/>
      <c r="Y93" s="1"/>
      <c r="Z93" s="1"/>
      <c r="AA93" s="1"/>
    </row>
    <row r="94" ht="15.75" customHeight="1">
      <c r="A94" s="125" t="s">
        <v>162</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163</v>
      </c>
      <c r="B96" s="50"/>
      <c r="C96" s="134" t="s">
        <v>164</v>
      </c>
      <c r="I96" s="54">
        <f>-2*X36*X37*X42</f>
        <v>-13.36830097</v>
      </c>
      <c r="J96" s="89"/>
      <c r="K96" s="2"/>
      <c r="L96" s="2"/>
      <c r="M96" s="2"/>
      <c r="N96" s="2"/>
      <c r="O96" s="2"/>
      <c r="P96" s="2"/>
      <c r="Q96" s="2"/>
      <c r="R96" s="2"/>
      <c r="S96" s="2"/>
      <c r="T96" s="2"/>
      <c r="U96" s="1"/>
      <c r="V96" s="2"/>
      <c r="W96" s="1"/>
      <c r="X96" s="1"/>
      <c r="Y96" s="1"/>
      <c r="Z96" s="1"/>
      <c r="AA96" s="1"/>
    </row>
    <row r="97" ht="15.75" customHeight="1">
      <c r="A97" s="125" t="s">
        <v>165</v>
      </c>
      <c r="B97" s="1"/>
      <c r="C97" s="2"/>
      <c r="D97" s="2"/>
      <c r="E97" s="2"/>
      <c r="F97" s="2"/>
      <c r="G97" s="2"/>
      <c r="H97" s="2"/>
      <c r="I97" s="2"/>
      <c r="J97" s="2"/>
      <c r="K97" s="2"/>
      <c r="L97" s="2"/>
      <c r="M97" s="2"/>
      <c r="N97" s="2"/>
      <c r="O97" s="2"/>
      <c r="P97" s="2"/>
      <c r="Q97" s="2"/>
      <c r="R97" s="2"/>
      <c r="S97" s="2"/>
      <c r="T97" s="2"/>
      <c r="U97" s="2"/>
      <c r="V97" s="2"/>
      <c r="W97" s="1"/>
      <c r="X97" s="1"/>
      <c r="Y97" s="1"/>
      <c r="Z97" s="1"/>
      <c r="AA97" s="1"/>
    </row>
    <row r="98" ht="15.75" customHeight="1">
      <c r="A98" s="1"/>
      <c r="B98" s="1"/>
      <c r="C98" s="2"/>
      <c r="D98" s="2"/>
      <c r="E98" s="2"/>
      <c r="F98" s="2"/>
      <c r="G98" s="2"/>
      <c r="H98" s="2"/>
      <c r="I98" s="2"/>
      <c r="J98" s="2"/>
      <c r="K98" s="2"/>
      <c r="L98" s="2"/>
      <c r="M98" s="2"/>
      <c r="N98" s="2"/>
      <c r="O98" s="2"/>
      <c r="Q98" s="2"/>
      <c r="R98" s="2"/>
      <c r="S98" s="2"/>
      <c r="T98" s="2"/>
      <c r="U98" s="2"/>
      <c r="V98" s="2"/>
      <c r="W98" s="1"/>
      <c r="X98" s="1"/>
      <c r="Y98" s="1"/>
      <c r="Z98" s="1"/>
      <c r="AA98" s="1"/>
    </row>
    <row r="99" ht="15.75" customHeight="1">
      <c r="A99" s="49" t="s">
        <v>166</v>
      </c>
      <c r="B99" s="50"/>
      <c r="C99" s="134"/>
      <c r="I99" s="54">
        <f>-1*$X$36*$X$37*$X$43</f>
        <v>-1.290732507</v>
      </c>
      <c r="J99" s="89"/>
      <c r="K99" s="2"/>
      <c r="L99" s="2"/>
      <c r="M99" s="2"/>
      <c r="N99" s="2"/>
      <c r="O99" s="2"/>
      <c r="P99" s="2"/>
      <c r="Q99" s="2"/>
      <c r="R99" s="2"/>
      <c r="S99" s="2"/>
      <c r="T99" s="2"/>
      <c r="U99" s="1"/>
      <c r="V99" s="2"/>
      <c r="W99" s="1"/>
      <c r="X99" s="1"/>
      <c r="Y99" s="1"/>
      <c r="Z99" s="1"/>
      <c r="AA99" s="1"/>
    </row>
    <row r="100" ht="15.75" customHeight="1">
      <c r="A100" s="125" t="s">
        <v>167</v>
      </c>
      <c r="B100" s="1"/>
      <c r="C100" s="2"/>
      <c r="D100" s="2"/>
      <c r="E100" s="2"/>
      <c r="F100" s="2"/>
      <c r="G100" s="2"/>
      <c r="H100" s="2"/>
      <c r="I100" s="2"/>
      <c r="J100" s="2"/>
      <c r="K100" s="2"/>
      <c r="L100" s="2"/>
      <c r="M100" s="2"/>
      <c r="N100" s="2"/>
      <c r="O100" s="2"/>
      <c r="P100" s="2"/>
      <c r="Q100" s="2"/>
      <c r="R100" s="2"/>
      <c r="S100" s="2"/>
      <c r="T100" s="2"/>
      <c r="U100" s="2"/>
      <c r="V100" s="2"/>
      <c r="W100" s="1"/>
      <c r="X100" s="1"/>
      <c r="Y100" s="1"/>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168</v>
      </c>
      <c r="B102" s="50"/>
      <c r="C102" s="134" t="s">
        <v>169</v>
      </c>
      <c r="I102" s="54">
        <f>-1*$I$56*('Scarab config xml'!$F$10/'Scarab config xml'!$F$5)</f>
        <v>0.1242857143</v>
      </c>
      <c r="J102" s="89"/>
      <c r="K102" s="2"/>
      <c r="L102" s="2"/>
      <c r="M102" s="2"/>
      <c r="N102" s="2"/>
      <c r="O102" s="2"/>
      <c r="P102" s="2"/>
      <c r="R102" s="2"/>
      <c r="S102" s="2"/>
      <c r="T102" s="2"/>
      <c r="U102" s="2"/>
      <c r="V102" s="2"/>
      <c r="W102" s="1"/>
      <c r="X102" s="1"/>
      <c r="Y102" s="1"/>
      <c r="Z102" s="1"/>
      <c r="AA102" s="1"/>
    </row>
    <row r="103" ht="15.75" customHeight="1">
      <c r="A103" s="125" t="s">
        <v>170</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171</v>
      </c>
      <c r="B105" s="50"/>
      <c r="C105" s="134" t="s">
        <v>172</v>
      </c>
      <c r="J105" s="165" t="s">
        <v>171</v>
      </c>
      <c r="K105" s="2"/>
      <c r="L105" s="2"/>
      <c r="M105" s="2"/>
      <c r="N105" s="2"/>
      <c r="O105" s="2"/>
      <c r="Q105" s="2"/>
      <c r="S105" s="2"/>
      <c r="T105" s="2"/>
      <c r="U105" s="2"/>
      <c r="V105" s="2"/>
      <c r="W105" s="1"/>
      <c r="X105" s="1"/>
      <c r="Y105" s="1"/>
      <c r="Z105" s="1"/>
      <c r="AA105" s="1"/>
    </row>
    <row r="106" ht="15.75" customHeight="1">
      <c r="A106" s="125" t="s">
        <v>173</v>
      </c>
      <c r="B106" s="1"/>
      <c r="C106" s="2"/>
      <c r="D106" s="2"/>
      <c r="E106" s="2"/>
      <c r="F106" s="2"/>
      <c r="I106" s="166">
        <v>0.0</v>
      </c>
      <c r="J106" s="167">
        <f>-1*I43/X60</f>
        <v>-0.06</v>
      </c>
      <c r="K106" s="2"/>
      <c r="L106" s="2"/>
      <c r="M106" s="2"/>
      <c r="N106" s="2"/>
      <c r="O106" s="2"/>
      <c r="Q106" s="2"/>
      <c r="R106" s="2"/>
      <c r="S106" s="2"/>
      <c r="T106" s="2"/>
      <c r="U106" s="2"/>
      <c r="V106" s="2"/>
      <c r="W106" s="1"/>
      <c r="X106" s="1"/>
      <c r="Y106" s="1"/>
      <c r="Z106" s="1"/>
      <c r="AA106" s="1"/>
    </row>
    <row r="107" ht="15.75" customHeight="1">
      <c r="A107" s="125" t="s">
        <v>174</v>
      </c>
      <c r="B107" s="1"/>
      <c r="C107" s="2"/>
      <c r="D107" s="2"/>
      <c r="E107" s="2"/>
      <c r="F107" s="2"/>
      <c r="I107" s="166">
        <v>0.0943</v>
      </c>
      <c r="J107" s="167">
        <f>-1*(I43+(X21*I107))/X60</f>
        <v>-0.1142225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175</v>
      </c>
      <c r="B109" s="50"/>
      <c r="C109" s="134" t="s">
        <v>176</v>
      </c>
      <c r="I109" s="54">
        <f>-2*$X$62*$X$56*('Scarab config xml'!$F$10/'Scarab config xml'!$F$5)</f>
        <v>-0.3250950125</v>
      </c>
      <c r="J109" s="89"/>
      <c r="K109" s="2"/>
      <c r="L109" s="2"/>
      <c r="M109" s="2"/>
      <c r="N109" s="2"/>
      <c r="O109" s="2"/>
      <c r="R109" s="2"/>
      <c r="S109" s="2"/>
      <c r="T109" s="2"/>
      <c r="U109" s="2"/>
      <c r="V109" s="2"/>
      <c r="W109" s="2"/>
      <c r="X109" s="2"/>
      <c r="Y109" s="2"/>
      <c r="Z109" s="1"/>
      <c r="AA109" s="1"/>
    </row>
    <row r="110" ht="15.75" customHeight="1">
      <c r="A110" s="125" t="s">
        <v>177</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178</v>
      </c>
      <c r="B112" s="50"/>
      <c r="C112" s="134" t="s">
        <v>179</v>
      </c>
      <c r="I112" s="2"/>
      <c r="J112" s="48" t="s">
        <v>178</v>
      </c>
      <c r="K112" s="2"/>
      <c r="L112" s="2"/>
      <c r="M112" s="2"/>
      <c r="N112" s="2"/>
      <c r="O112" s="2"/>
      <c r="P112" s="2"/>
      <c r="S112" s="2"/>
      <c r="T112" s="2"/>
      <c r="U112" s="2"/>
      <c r="V112" s="2"/>
      <c r="W112" s="2"/>
      <c r="X112" s="2"/>
      <c r="Y112" s="2"/>
      <c r="Z112" s="1"/>
      <c r="AA112" s="1"/>
    </row>
    <row r="113" ht="15.75" customHeight="1">
      <c r="A113" s="125" t="s">
        <v>180</v>
      </c>
      <c r="B113" s="1"/>
      <c r="C113" s="2"/>
      <c r="D113" s="2"/>
      <c r="E113" s="2"/>
      <c r="F113" s="2"/>
      <c r="G113" s="2"/>
      <c r="H113" s="2"/>
      <c r="I113" s="166">
        <v>0.0</v>
      </c>
      <c r="J113" s="167">
        <f>-1*$X$64*$I$43*$I$80</f>
        <v>-0.0108675</v>
      </c>
      <c r="K113" s="2"/>
      <c r="L113" s="2"/>
      <c r="M113" s="2"/>
      <c r="N113" s="2"/>
      <c r="O113" s="2"/>
      <c r="P113" s="2"/>
      <c r="S113" s="2"/>
      <c r="T113" s="2"/>
      <c r="U113" s="2"/>
      <c r="V113" s="2"/>
      <c r="W113" s="2"/>
      <c r="X113" s="2"/>
      <c r="Y113" s="2"/>
      <c r="Z113" s="1"/>
      <c r="AA113" s="1"/>
    </row>
    <row r="114" ht="15.75" customHeight="1">
      <c r="A114" s="125" t="s">
        <v>181</v>
      </c>
      <c r="B114" s="1"/>
      <c r="C114" s="2"/>
      <c r="D114" s="2"/>
      <c r="E114" s="2"/>
      <c r="F114" s="2"/>
      <c r="G114" s="2"/>
      <c r="H114" s="2"/>
      <c r="I114" s="166">
        <v>0.0943</v>
      </c>
      <c r="J114" s="167">
        <f>-1*$X$64*($I$43+X21*I114)*$I$80</f>
        <v>-0.02068855031</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182</v>
      </c>
      <c r="B116" s="50"/>
      <c r="C116" s="134" t="s">
        <v>183</v>
      </c>
      <c r="I116" s="54">
        <f>-1*I67*('Scarab config xml'!F10/'Scarab config xml'!F5)</f>
        <v>-0.08370262391</v>
      </c>
      <c r="J116" s="89"/>
      <c r="K116" s="2"/>
      <c r="L116" s="2"/>
      <c r="M116" s="2"/>
      <c r="N116" s="2"/>
      <c r="O116" s="2"/>
      <c r="P116" s="2"/>
      <c r="Q116" s="2"/>
    </row>
    <row r="117" ht="15.75" customHeight="1">
      <c r="A117" s="125" t="s">
        <v>184</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c r="A119" s="49" t="s">
        <v>185</v>
      </c>
      <c r="B119" s="50"/>
      <c r="C119" s="134" t="s">
        <v>186</v>
      </c>
      <c r="I119" s="54">
        <f>$X$73*(($X$80+2*$X$81)/'Scarab config xml'!$F$4)</f>
        <v>0.1861702806</v>
      </c>
      <c r="J119" s="89"/>
      <c r="K119" s="2"/>
      <c r="L119" s="2"/>
      <c r="M119" s="2"/>
      <c r="N119" s="2"/>
      <c r="O119" s="2"/>
      <c r="P119" s="2"/>
      <c r="Q119" s="2"/>
    </row>
    <row r="120" ht="15.75" customHeight="1">
      <c r="A120" s="125" t="s">
        <v>187</v>
      </c>
      <c r="B120" s="1"/>
      <c r="C120" s="2"/>
      <c r="D120" s="2"/>
      <c r="E120" s="2"/>
      <c r="F120" s="2"/>
      <c r="G120" s="2"/>
      <c r="H120" s="2"/>
      <c r="I120" s="2"/>
      <c r="J120" s="2"/>
      <c r="K120" s="2"/>
      <c r="L120" s="2"/>
      <c r="M120" s="2"/>
      <c r="N120" s="2"/>
      <c r="O120" s="2"/>
      <c r="Q120" s="2"/>
      <c r="R120" s="2"/>
      <c r="Z120" s="1"/>
      <c r="AA120" s="1"/>
    </row>
    <row r="121" ht="15.75" customHeight="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c r="A122" s="49" t="s">
        <v>188</v>
      </c>
      <c r="B122" s="50"/>
      <c r="C122" s="134" t="s">
        <v>189</v>
      </c>
      <c r="I122" s="54">
        <f>$X$73*((($X$80*$X$78)+(2*$X$81*$X$79))/('Scarab config xml'!$F$4*'Scarab config xml'!$F$6))</f>
        <v>0.3009884649</v>
      </c>
      <c r="J122" s="89"/>
      <c r="K122" s="2"/>
      <c r="L122" s="2"/>
      <c r="M122" s="2"/>
      <c r="N122" s="2"/>
      <c r="O122" s="2"/>
      <c r="P122" s="2"/>
      <c r="Q122" s="2"/>
    </row>
    <row r="123" ht="15.75" customHeight="1">
      <c r="A123" s="125" t="s">
        <v>190</v>
      </c>
      <c r="B123" s="1"/>
      <c r="C123" s="2"/>
      <c r="D123" s="2"/>
      <c r="E123" s="2"/>
      <c r="F123" s="2"/>
      <c r="G123" s="2"/>
      <c r="H123" s="2"/>
      <c r="I123" s="2"/>
      <c r="J123" s="2"/>
      <c r="K123" s="2"/>
      <c r="L123" s="2"/>
      <c r="M123" s="2"/>
      <c r="N123" s="2"/>
      <c r="O123" s="2"/>
      <c r="P123" s="2"/>
      <c r="Q123" s="2"/>
      <c r="R123" s="2"/>
      <c r="S123" s="2"/>
      <c r="T123" s="2"/>
      <c r="U123" s="2"/>
      <c r="V123" s="2"/>
      <c r="W123" s="1"/>
      <c r="X123" s="1"/>
      <c r="Y123" s="1"/>
      <c r="Z123" s="1"/>
      <c r="AA123" s="1"/>
    </row>
    <row r="124" ht="15.75" customHeight="1">
      <c r="A124" s="1"/>
      <c r="B124" s="1"/>
      <c r="C124" s="2"/>
      <c r="D124" s="2"/>
      <c r="E124" s="2"/>
      <c r="F124" s="2"/>
      <c r="G124" s="2"/>
      <c r="H124" s="2"/>
      <c r="I124" s="2"/>
      <c r="J124" s="2"/>
      <c r="K124" s="2"/>
      <c r="L124" s="2"/>
      <c r="M124" s="2"/>
      <c r="N124" s="2"/>
      <c r="O124" s="2"/>
      <c r="P124" s="2"/>
      <c r="Q124" s="2"/>
      <c r="R124" s="2"/>
      <c r="Z124" s="1"/>
      <c r="AA124" s="1"/>
    </row>
    <row r="125">
      <c r="A125" s="49" t="s">
        <v>191</v>
      </c>
      <c r="B125" s="50"/>
      <c r="C125" s="134" t="s">
        <v>192</v>
      </c>
      <c r="I125" s="54">
        <f>X76*(X80/'Scarab config xml'!F4)</f>
        <v>-0.0890625</v>
      </c>
      <c r="J125" s="89"/>
      <c r="K125" s="2"/>
      <c r="L125" s="2"/>
      <c r="M125" s="2"/>
      <c r="N125" s="2"/>
      <c r="O125" s="2"/>
      <c r="P125" s="2"/>
      <c r="Q125" s="2"/>
    </row>
    <row r="126" ht="15.75" customHeight="1">
      <c r="A126" s="125" t="s">
        <v>193</v>
      </c>
      <c r="B126" s="1"/>
      <c r="C126" s="2"/>
      <c r="D126" s="2"/>
      <c r="E126" s="2"/>
      <c r="F126" s="2"/>
      <c r="G126" s="2"/>
      <c r="H126" s="2"/>
      <c r="I126" s="2"/>
      <c r="J126" s="2"/>
      <c r="K126" s="2"/>
      <c r="L126" s="2"/>
      <c r="M126" s="2"/>
      <c r="N126" s="2"/>
      <c r="O126" s="2"/>
      <c r="P126" s="2"/>
      <c r="R126" s="2"/>
      <c r="S126" s="2"/>
      <c r="T126" s="2"/>
      <c r="U126" s="2"/>
      <c r="V126" s="2"/>
      <c r="W126" s="1"/>
      <c r="X126" s="1"/>
      <c r="Y126" s="1"/>
      <c r="Z126" s="1"/>
      <c r="AA126" s="1"/>
    </row>
    <row r="127" ht="15.75" customHeight="1">
      <c r="A127" s="1"/>
      <c r="B127" s="1"/>
      <c r="C127" s="2"/>
      <c r="D127" s="2"/>
      <c r="E127" s="2"/>
      <c r="F127" s="2"/>
      <c r="G127" s="2"/>
      <c r="H127" s="2"/>
      <c r="I127" s="2"/>
      <c r="J127" s="2"/>
      <c r="K127" s="2"/>
      <c r="L127" s="2"/>
      <c r="M127" s="2"/>
      <c r="N127" s="2"/>
      <c r="O127" s="2"/>
      <c r="P127" s="2"/>
      <c r="Q127" s="2"/>
      <c r="R127" s="2"/>
      <c r="Z127" s="1"/>
      <c r="AA127" s="1"/>
    </row>
    <row r="128" ht="15.75" customHeight="1">
      <c r="A128" s="1"/>
      <c r="B128" s="1"/>
      <c r="C128" s="2"/>
      <c r="D128" s="2"/>
      <c r="E128" s="2"/>
      <c r="F128" s="2"/>
      <c r="G128" s="2"/>
      <c r="H128" s="2"/>
      <c r="I128" s="2"/>
      <c r="J128" s="2"/>
      <c r="K128" s="2"/>
      <c r="L128" s="2"/>
      <c r="M128" s="2"/>
      <c r="N128" s="2"/>
      <c r="O128" s="2"/>
      <c r="P128" s="2"/>
      <c r="Q128" s="2"/>
      <c r="R128" s="2"/>
      <c r="S128" s="2"/>
      <c r="T128" s="2"/>
      <c r="U128" s="2"/>
      <c r="V128" s="2"/>
      <c r="W128" s="1"/>
      <c r="X128" s="1"/>
      <c r="Y128" s="1"/>
      <c r="Z128" s="1"/>
      <c r="AA128" s="1"/>
    </row>
    <row r="129" ht="15.75" customHeight="1">
      <c r="A129" s="1"/>
      <c r="B129" s="1"/>
      <c r="C129" s="2"/>
      <c r="D129" s="2"/>
      <c r="E129" s="2"/>
      <c r="F129" s="2"/>
      <c r="G129" s="2"/>
      <c r="H129" s="2"/>
      <c r="I129" s="2"/>
      <c r="J129" s="2"/>
      <c r="K129" s="2"/>
      <c r="L129" s="2"/>
      <c r="M129" s="2"/>
      <c r="N129" s="2"/>
      <c r="O129" s="2"/>
      <c r="S129" s="2"/>
      <c r="T129" s="2"/>
      <c r="U129" s="2"/>
      <c r="V129" s="2"/>
      <c r="W129" s="1"/>
      <c r="X129" s="1"/>
      <c r="Y129" s="1"/>
      <c r="Z129" s="1"/>
      <c r="AA129" s="1"/>
    </row>
    <row r="130" ht="15.75" customHeight="1">
      <c r="A130" s="1"/>
      <c r="B130" s="1"/>
      <c r="C130" s="2"/>
      <c r="D130" s="2"/>
      <c r="E130" s="2"/>
      <c r="F130" s="2"/>
      <c r="G130" s="2"/>
      <c r="H130" s="2"/>
      <c r="I130" s="2"/>
      <c r="J130" s="2"/>
      <c r="K130" s="2"/>
      <c r="L130" s="2"/>
      <c r="M130" s="2"/>
      <c r="N130" s="2"/>
      <c r="O130" s="2"/>
      <c r="P130" s="2"/>
      <c r="Q130" s="2"/>
      <c r="R130" s="2"/>
      <c r="S130" s="2"/>
      <c r="T130" s="2"/>
      <c r="U130" s="2"/>
      <c r="V130" s="2"/>
      <c r="W130" s="1"/>
      <c r="X130" s="1"/>
      <c r="Y130" s="1"/>
      <c r="Z130" s="1"/>
      <c r="AA130" s="1"/>
    </row>
    <row r="131" ht="15.75" customHeight="1">
      <c r="A131" s="1"/>
      <c r="B131" s="1"/>
      <c r="C131" s="2"/>
      <c r="D131" s="2"/>
      <c r="E131" s="2"/>
      <c r="F131" s="2"/>
      <c r="G131" s="2"/>
      <c r="H131" s="2"/>
      <c r="I131" s="2"/>
      <c r="J131" s="2"/>
      <c r="K131" s="2"/>
      <c r="L131" s="2"/>
      <c r="M131" s="2"/>
      <c r="N131" s="2"/>
      <c r="O131" s="2"/>
      <c r="P131" s="2"/>
      <c r="Q131" s="2"/>
      <c r="R131" s="2"/>
      <c r="Z131" s="1"/>
      <c r="AA131" s="1"/>
    </row>
    <row r="132" ht="15.75" customHeight="1">
      <c r="A132" s="1"/>
      <c r="B132" s="1"/>
      <c r="C132" s="2"/>
      <c r="D132" s="2"/>
      <c r="E132" s="2"/>
      <c r="F132" s="2"/>
      <c r="G132" s="2"/>
      <c r="H132" s="2"/>
      <c r="I132" s="2"/>
      <c r="J132" s="2"/>
      <c r="K132" s="2"/>
      <c r="L132" s="2"/>
      <c r="M132" s="2"/>
      <c r="N132" s="2"/>
      <c r="O132" s="2"/>
      <c r="P132" s="2"/>
      <c r="Q132" s="2"/>
      <c r="S132" s="2"/>
      <c r="T132" s="2"/>
      <c r="U132" s="2"/>
      <c r="V132" s="2"/>
      <c r="W132" s="1"/>
      <c r="X132" s="1"/>
      <c r="Y132" s="1"/>
      <c r="Z132" s="1"/>
      <c r="AA132" s="1"/>
    </row>
    <row r="133" ht="15.75" customHeight="1">
      <c r="A133" s="1"/>
      <c r="B133" s="1"/>
      <c r="C133" s="2"/>
      <c r="D133" s="2"/>
      <c r="E133" s="2"/>
      <c r="F133" s="2"/>
      <c r="G133" s="2"/>
      <c r="H133" s="2"/>
      <c r="I133" s="2"/>
      <c r="J133" s="2"/>
      <c r="K133" s="2"/>
      <c r="L133" s="2"/>
      <c r="M133" s="2"/>
      <c r="N133" s="2"/>
      <c r="O133" s="2"/>
      <c r="P133" s="2"/>
      <c r="R133" s="2"/>
      <c r="S133" s="2"/>
      <c r="T133" s="2"/>
      <c r="U133" s="2"/>
      <c r="V133" s="2"/>
      <c r="W133" s="1"/>
      <c r="X133" s="1"/>
      <c r="Y133" s="1"/>
      <c r="Z133" s="1"/>
      <c r="AA133" s="1"/>
    </row>
    <row r="134" ht="15.75" customHeight="1">
      <c r="A134" s="1"/>
      <c r="B134" s="1"/>
      <c r="C134" s="2"/>
      <c r="D134" s="2"/>
      <c r="E134" s="2"/>
      <c r="F134" s="2"/>
      <c r="G134" s="2"/>
      <c r="H134" s="2"/>
      <c r="I134" s="2"/>
      <c r="J134" s="2"/>
      <c r="K134" s="2"/>
      <c r="L134" s="2"/>
      <c r="M134" s="2"/>
      <c r="N134" s="2"/>
      <c r="O134" s="2"/>
      <c r="P134" s="2"/>
      <c r="Q134" s="2"/>
      <c r="R134" s="2"/>
      <c r="Z134" s="1"/>
      <c r="AA134" s="1"/>
    </row>
    <row r="135" ht="15.75" customHeight="1">
      <c r="A135" s="1"/>
      <c r="B135" s="1"/>
      <c r="C135" s="2"/>
      <c r="D135" s="2"/>
      <c r="E135" s="2"/>
      <c r="F135" s="2"/>
      <c r="G135" s="2"/>
      <c r="H135" s="2"/>
      <c r="I135" s="2"/>
      <c r="J135" s="2"/>
      <c r="K135" s="2"/>
      <c r="L135" s="2"/>
      <c r="M135" s="2"/>
      <c r="N135" s="2"/>
      <c r="O135" s="2"/>
      <c r="P135" s="2"/>
      <c r="Q135" s="2"/>
      <c r="R135" s="2"/>
      <c r="S135" s="2"/>
      <c r="T135" s="2"/>
      <c r="U135" s="2"/>
      <c r="V135" s="2"/>
      <c r="W135" s="1"/>
      <c r="X135" s="1"/>
      <c r="Y135" s="1"/>
      <c r="Z135" s="1"/>
      <c r="AA135" s="1"/>
    </row>
    <row r="136" ht="15.75" customHeight="1">
      <c r="A136" s="1"/>
      <c r="B136" s="1"/>
      <c r="C136" s="2"/>
      <c r="D136" s="2"/>
      <c r="E136" s="2"/>
      <c r="F136" s="2"/>
      <c r="G136" s="2"/>
      <c r="H136" s="2"/>
      <c r="I136" s="2"/>
      <c r="J136" s="2"/>
      <c r="K136" s="2"/>
      <c r="L136" s="2"/>
      <c r="M136" s="2"/>
      <c r="N136" s="2"/>
      <c r="O136" s="2"/>
      <c r="P136" s="2"/>
      <c r="Q136" s="2"/>
      <c r="S136" s="2"/>
      <c r="T136" s="2"/>
      <c r="U136" s="2"/>
      <c r="V136" s="2"/>
      <c r="W136" s="1"/>
      <c r="X136" s="1"/>
      <c r="Y136" s="1"/>
      <c r="Z136" s="1"/>
      <c r="AA136" s="1"/>
    </row>
    <row r="137" ht="15.75" customHeight="1">
      <c r="A137" s="1"/>
      <c r="B137" s="1"/>
      <c r="C137" s="2"/>
      <c r="D137" s="2"/>
      <c r="E137" s="2"/>
      <c r="F137" s="2"/>
      <c r="G137" s="2"/>
      <c r="H137" s="2"/>
      <c r="I137" s="2"/>
      <c r="J137" s="2"/>
      <c r="K137" s="2"/>
      <c r="L137" s="2"/>
      <c r="M137" s="2"/>
      <c r="N137" s="2"/>
      <c r="O137" s="2"/>
      <c r="P137" s="2"/>
      <c r="Q137" s="2"/>
      <c r="R137" s="2"/>
      <c r="S137" s="2"/>
      <c r="T137" s="2"/>
      <c r="U137" s="2"/>
      <c r="V137" s="2"/>
      <c r="W137" s="1"/>
      <c r="X137" s="1"/>
      <c r="Y137" s="1"/>
      <c r="Z137" s="1"/>
      <c r="AA137" s="1"/>
    </row>
    <row r="138" ht="15.75" customHeight="1">
      <c r="A138" s="1"/>
      <c r="B138" s="1"/>
      <c r="C138" s="2"/>
      <c r="D138" s="2"/>
      <c r="E138" s="2"/>
      <c r="F138" s="2"/>
      <c r="G138" s="2"/>
      <c r="H138" s="2"/>
      <c r="I138" s="2"/>
      <c r="J138" s="2"/>
      <c r="K138" s="2"/>
      <c r="L138" s="2"/>
      <c r="M138" s="2"/>
      <c r="N138" s="2"/>
      <c r="O138" s="2"/>
      <c r="P138" s="2"/>
      <c r="Q138" s="2"/>
      <c r="R138" s="2"/>
      <c r="Z138" s="1"/>
      <c r="AA138" s="1"/>
    </row>
    <row r="139" ht="15.75" customHeight="1">
      <c r="A139" s="1"/>
      <c r="B139" s="1"/>
      <c r="C139" s="2"/>
      <c r="D139" s="2"/>
      <c r="E139" s="2"/>
      <c r="F139" s="2"/>
      <c r="G139" s="2"/>
      <c r="H139" s="2"/>
      <c r="I139" s="2"/>
      <c r="J139" s="2"/>
      <c r="K139" s="2"/>
      <c r="L139" s="2"/>
      <c r="M139" s="2"/>
      <c r="N139" s="2"/>
      <c r="O139" s="2"/>
      <c r="P139" s="2"/>
      <c r="Q139" s="2"/>
      <c r="R139" s="2"/>
      <c r="S139" s="2"/>
      <c r="T139" s="2"/>
      <c r="U139" s="2"/>
      <c r="V139" s="2"/>
      <c r="W139" s="1"/>
      <c r="X139" s="1"/>
      <c r="Y139" s="1"/>
      <c r="Z139" s="1"/>
      <c r="AA139" s="1"/>
    </row>
    <row r="140" ht="15.75" customHeight="1">
      <c r="A140" s="1"/>
      <c r="B140" s="1"/>
      <c r="C140" s="2"/>
      <c r="D140" s="2"/>
      <c r="E140" s="2"/>
      <c r="F140" s="2"/>
      <c r="G140" s="2"/>
      <c r="H140" s="2"/>
      <c r="I140" s="2"/>
      <c r="J140" s="2"/>
      <c r="K140" s="2"/>
      <c r="L140" s="2"/>
      <c r="M140" s="2"/>
      <c r="N140" s="2"/>
      <c r="O140" s="2"/>
      <c r="P140" s="2"/>
      <c r="Q140" s="2"/>
      <c r="R140" s="2"/>
      <c r="S140" s="2"/>
      <c r="T140" s="2"/>
      <c r="U140" s="2"/>
      <c r="V140" s="2"/>
      <c r="W140" s="1"/>
      <c r="X140" s="1"/>
      <c r="Y140" s="1"/>
      <c r="Z140" s="1"/>
      <c r="AA140" s="1"/>
    </row>
    <row r="141" ht="15.75" customHeight="1">
      <c r="A141" s="1"/>
      <c r="B141" s="1"/>
      <c r="C141" s="2"/>
      <c r="D141" s="2"/>
      <c r="E141" s="2"/>
      <c r="F141" s="2"/>
      <c r="G141" s="2"/>
      <c r="H141" s="2"/>
      <c r="I141" s="2"/>
      <c r="J141" s="2"/>
      <c r="K141" s="2"/>
      <c r="L141" s="2"/>
      <c r="M141" s="2"/>
      <c r="N141" s="2"/>
      <c r="O141" s="2"/>
      <c r="P141" s="2"/>
      <c r="Q141" s="2"/>
      <c r="R141" s="2"/>
      <c r="S141" s="2"/>
      <c r="T141" s="2"/>
      <c r="U141" s="2"/>
      <c r="V141" s="2"/>
      <c r="W141" s="1"/>
      <c r="X141" s="1"/>
      <c r="Y141" s="1"/>
      <c r="Z141" s="1"/>
      <c r="AA141" s="1"/>
    </row>
    <row r="142" ht="15.75" customHeight="1">
      <c r="A142" s="1"/>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1"/>
      <c r="B143" s="1"/>
      <c r="C143" s="2"/>
      <c r="D143" s="2"/>
      <c r="E143" s="2"/>
      <c r="F143" s="2"/>
      <c r="G143" s="2"/>
      <c r="H143" s="2"/>
      <c r="I143" s="2"/>
      <c r="J143" s="2"/>
      <c r="K143" s="2"/>
      <c r="L143" s="2"/>
      <c r="M143" s="2"/>
      <c r="N143" s="2"/>
      <c r="O143" s="2"/>
      <c r="P143" s="2"/>
      <c r="Q143" s="2"/>
      <c r="R143" s="2"/>
      <c r="S143" s="2"/>
      <c r="T143" s="2"/>
      <c r="U143" s="2"/>
      <c r="V143" s="2"/>
      <c r="W143" s="1"/>
      <c r="X143" s="1"/>
      <c r="Y143" s="1"/>
      <c r="Z143" s="1"/>
      <c r="AA143" s="1"/>
    </row>
    <row r="144" ht="15.75" customHeight="1">
      <c r="A144" s="1"/>
      <c r="B144" s="1"/>
      <c r="C144" s="2"/>
      <c r="D144" s="2"/>
      <c r="E144" s="2"/>
      <c r="F144" s="2"/>
      <c r="G144" s="2"/>
      <c r="H144" s="2"/>
      <c r="I144" s="2"/>
      <c r="J144" s="2"/>
      <c r="K144" s="2"/>
      <c r="L144" s="2"/>
      <c r="M144" s="2"/>
      <c r="N144" s="2"/>
      <c r="O144" s="2"/>
      <c r="P144" s="2"/>
      <c r="Q144" s="2"/>
      <c r="R144" s="2"/>
      <c r="S144" s="2"/>
      <c r="T144" s="2"/>
      <c r="U144" s="2"/>
      <c r="V144" s="2"/>
      <c r="W144" s="1"/>
      <c r="X144" s="1"/>
      <c r="Y144" s="1"/>
      <c r="Z144" s="1"/>
      <c r="AA144" s="1"/>
    </row>
    <row r="145" ht="15.75" customHeight="1">
      <c r="A145" s="1"/>
      <c r="B145" s="1"/>
      <c r="C145" s="2"/>
      <c r="D145" s="2"/>
      <c r="E145" s="2"/>
      <c r="F145" s="2"/>
      <c r="G145" s="2"/>
      <c r="H145" s="2"/>
      <c r="I145" s="2"/>
      <c r="J145" s="2"/>
      <c r="K145" s="2"/>
      <c r="L145" s="2"/>
      <c r="M145" s="2"/>
      <c r="N145" s="2"/>
      <c r="O145" s="2"/>
      <c r="P145" s="2"/>
      <c r="Q145" s="2"/>
      <c r="R145" s="2"/>
      <c r="S145" s="2"/>
      <c r="T145" s="2"/>
      <c r="U145" s="2"/>
      <c r="V145" s="2"/>
      <c r="W145" s="1"/>
      <c r="X145" s="1"/>
      <c r="Y145" s="1"/>
      <c r="Z145" s="1"/>
      <c r="AA145" s="1"/>
    </row>
    <row r="146" ht="15.75" customHeight="1">
      <c r="A146" s="1"/>
      <c r="B146" s="1"/>
      <c r="C146" s="2"/>
      <c r="D146" s="2"/>
      <c r="E146" s="2"/>
      <c r="F146" s="2"/>
      <c r="G146" s="2"/>
      <c r="H146" s="2"/>
      <c r="I146" s="2"/>
      <c r="J146" s="2"/>
      <c r="K146" s="2"/>
      <c r="L146" s="2"/>
      <c r="M146" s="2"/>
      <c r="N146" s="2"/>
      <c r="O146" s="2"/>
      <c r="P146" s="2"/>
      <c r="Q146" s="2"/>
      <c r="R146" s="2"/>
      <c r="S146" s="2"/>
      <c r="T146" s="2"/>
      <c r="U146" s="2"/>
      <c r="V146" s="2"/>
      <c r="W146" s="1"/>
      <c r="X146" s="1"/>
      <c r="Y146" s="1"/>
      <c r="Z146" s="1"/>
      <c r="AA146" s="1"/>
    </row>
    <row r="147" ht="15.75" customHeight="1">
      <c r="A147" s="1"/>
      <c r="B147" s="1"/>
      <c r="C147" s="2"/>
      <c r="D147" s="2"/>
      <c r="E147" s="2"/>
      <c r="F147" s="2"/>
      <c r="G147" s="2"/>
      <c r="H147" s="2"/>
      <c r="I147" s="2"/>
      <c r="J147" s="2"/>
      <c r="K147" s="2"/>
      <c r="L147" s="2"/>
      <c r="M147" s="2"/>
      <c r="N147" s="2"/>
      <c r="O147" s="2"/>
      <c r="P147" s="2"/>
      <c r="Q147" s="2"/>
      <c r="R147" s="2"/>
      <c r="S147" s="2"/>
      <c r="T147" s="2"/>
      <c r="U147" s="2"/>
      <c r="V147" s="2"/>
      <c r="W147" s="1"/>
      <c r="X147" s="1"/>
      <c r="Y147" s="1"/>
      <c r="Z147" s="1"/>
      <c r="AA147" s="1"/>
    </row>
    <row r="148" ht="15.75" customHeight="1">
      <c r="A148" s="1"/>
      <c r="B148" s="1"/>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
      <c r="B149" s="1"/>
      <c r="C149" s="2"/>
      <c r="D149" s="2"/>
      <c r="E149" s="2"/>
      <c r="F149" s="2"/>
      <c r="G149" s="2"/>
      <c r="H149" s="2"/>
      <c r="I149" s="2"/>
      <c r="J149" s="2"/>
      <c r="K149" s="2"/>
      <c r="L149" s="2"/>
      <c r="M149" s="2"/>
      <c r="N149" s="2"/>
      <c r="O149" s="2"/>
      <c r="P149" s="2"/>
      <c r="Q149" s="2"/>
      <c r="R149" s="2"/>
      <c r="S149" s="2"/>
      <c r="T149" s="2"/>
      <c r="U149" s="2"/>
      <c r="V149" s="2"/>
      <c r="W149" s="1"/>
      <c r="X149" s="1"/>
      <c r="Y149" s="1"/>
      <c r="Z149" s="1"/>
      <c r="AA149" s="1"/>
    </row>
    <row r="150" ht="15.75" customHeight="1">
      <c r="A150" s="1"/>
      <c r="B150" s="1"/>
      <c r="C150" s="2"/>
      <c r="D150" s="2"/>
      <c r="E150" s="2"/>
      <c r="F150" s="2"/>
      <c r="G150" s="2"/>
      <c r="H150" s="2"/>
      <c r="I150" s="2"/>
      <c r="J150" s="2"/>
      <c r="K150" s="2"/>
      <c r="L150" s="2"/>
      <c r="M150" s="2"/>
      <c r="N150" s="2"/>
      <c r="O150" s="2"/>
      <c r="P150" s="2"/>
      <c r="Q150" s="2"/>
      <c r="R150" s="2"/>
      <c r="S150" s="2"/>
      <c r="T150" s="2"/>
      <c r="U150" s="2"/>
      <c r="V150" s="2"/>
      <c r="W150" s="1"/>
      <c r="X150" s="1"/>
      <c r="Y150" s="1"/>
      <c r="Z150" s="1"/>
      <c r="AA150" s="1"/>
    </row>
    <row r="151" ht="15.75" customHeight="1">
      <c r="A151" s="1"/>
      <c r="B151" s="1"/>
      <c r="C151" s="2"/>
      <c r="D151" s="2"/>
      <c r="E151" s="2"/>
      <c r="F151" s="2"/>
      <c r="G151" s="2"/>
      <c r="H151" s="2"/>
      <c r="I151" s="2"/>
      <c r="J151" s="2"/>
      <c r="K151" s="2"/>
      <c r="L151" s="2"/>
      <c r="M151" s="2"/>
      <c r="N151" s="2"/>
      <c r="O151" s="2"/>
      <c r="P151" s="2"/>
      <c r="Q151" s="2"/>
      <c r="R151" s="2"/>
      <c r="S151" s="2"/>
      <c r="T151" s="2"/>
      <c r="U151" s="2"/>
      <c r="V151" s="2"/>
      <c r="W151" s="1"/>
      <c r="X151" s="1"/>
      <c r="Y151" s="1"/>
      <c r="Z151" s="1"/>
      <c r="AA151" s="1"/>
    </row>
    <row r="152" ht="15.75" customHeight="1">
      <c r="A152" s="1"/>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1"/>
      <c r="B153" s="1"/>
      <c r="C153" s="2"/>
      <c r="D153" s="2"/>
      <c r="E153" s="2"/>
      <c r="F153" s="2"/>
      <c r="G153" s="2"/>
      <c r="H153" s="2"/>
      <c r="I153" s="2"/>
      <c r="J153" s="2"/>
      <c r="K153" s="2"/>
      <c r="L153" s="2"/>
      <c r="M153" s="2"/>
      <c r="N153" s="2"/>
      <c r="O153" s="2"/>
      <c r="P153" s="2"/>
      <c r="Q153" s="2"/>
      <c r="R153" s="2"/>
      <c r="S153" s="2"/>
      <c r="T153" s="2"/>
      <c r="U153" s="2"/>
      <c r="V153" s="2"/>
      <c r="W153" s="1"/>
      <c r="X153" s="1"/>
      <c r="Y153" s="1"/>
      <c r="Z153" s="1"/>
      <c r="AA153" s="1"/>
    </row>
    <row r="154" ht="15.75" customHeight="1">
      <c r="A154" s="1"/>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1"/>
      <c r="B155" s="1"/>
      <c r="C155" s="2"/>
      <c r="D155" s="2"/>
      <c r="E155" s="2"/>
      <c r="F155" s="2"/>
      <c r="G155" s="2"/>
      <c r="H155" s="2"/>
      <c r="I155" s="2"/>
      <c r="J155" s="2"/>
      <c r="K155" s="2"/>
      <c r="L155" s="2"/>
      <c r="M155" s="2"/>
      <c r="N155" s="2"/>
      <c r="O155" s="2"/>
      <c r="P155" s="2"/>
      <c r="Q155" s="2"/>
      <c r="R155" s="2"/>
      <c r="S155" s="2"/>
      <c r="T155" s="2"/>
      <c r="U155" s="2"/>
      <c r="V155" s="2"/>
      <c r="W155" s="1"/>
      <c r="X155" s="1"/>
      <c r="Y155" s="1"/>
      <c r="Z155" s="1"/>
      <c r="AA155" s="1"/>
    </row>
    <row r="156" ht="15.75" customHeight="1">
      <c r="A156" s="1"/>
      <c r="B156" s="1"/>
      <c r="C156" s="2"/>
      <c r="D156" s="2"/>
      <c r="E156" s="2"/>
      <c r="F156" s="2"/>
      <c r="G156" s="2"/>
      <c r="H156" s="2"/>
      <c r="I156" s="2"/>
      <c r="J156" s="2"/>
      <c r="K156" s="2"/>
      <c r="L156" s="2"/>
      <c r="M156" s="2"/>
      <c r="N156" s="2"/>
      <c r="O156" s="2"/>
      <c r="P156" s="2"/>
      <c r="Q156" s="2"/>
      <c r="R156" s="2"/>
      <c r="S156" s="2"/>
      <c r="T156" s="2"/>
      <c r="U156" s="2"/>
      <c r="V156" s="2"/>
      <c r="W156" s="1"/>
      <c r="X156" s="1"/>
      <c r="Y156" s="1"/>
      <c r="Z156" s="1"/>
      <c r="AA156" s="1"/>
    </row>
    <row r="157" ht="15.75" customHeight="1">
      <c r="A157" s="1"/>
      <c r="B157" s="1"/>
      <c r="C157" s="2"/>
      <c r="D157" s="2"/>
      <c r="E157" s="2"/>
      <c r="F157" s="2"/>
      <c r="G157" s="2"/>
      <c r="H157" s="2"/>
      <c r="I157" s="2"/>
      <c r="J157" s="2"/>
      <c r="K157" s="2"/>
      <c r="L157" s="2"/>
      <c r="M157" s="2"/>
      <c r="N157" s="2"/>
      <c r="O157" s="2"/>
      <c r="P157" s="2"/>
      <c r="Q157" s="2"/>
      <c r="R157" s="2"/>
      <c r="S157" s="2"/>
      <c r="T157" s="2"/>
      <c r="U157" s="2"/>
      <c r="V157" s="2"/>
      <c r="W157" s="1"/>
      <c r="X157" s="1"/>
      <c r="Y157" s="1"/>
      <c r="Z157" s="1"/>
      <c r="AA157" s="1"/>
    </row>
    <row r="158" ht="15.75" customHeight="1">
      <c r="A158" s="1"/>
      <c r="B158" s="1"/>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1"/>
      <c r="B159" s="1"/>
      <c r="C159" s="2"/>
      <c r="D159" s="2"/>
      <c r="E159" s="2"/>
      <c r="F159" s="2"/>
      <c r="G159" s="2"/>
      <c r="H159" s="2"/>
      <c r="I159" s="2"/>
      <c r="J159" s="2"/>
      <c r="K159" s="2"/>
      <c r="L159" s="2"/>
      <c r="M159" s="2"/>
      <c r="N159" s="2"/>
      <c r="O159" s="2"/>
      <c r="P159" s="2"/>
      <c r="Q159" s="2"/>
      <c r="R159" s="2"/>
      <c r="S159" s="2"/>
      <c r="T159" s="2"/>
      <c r="U159" s="2"/>
      <c r="V159" s="2"/>
      <c r="W159" s="1"/>
      <c r="X159" s="1"/>
      <c r="Y159" s="1"/>
      <c r="Z159" s="1"/>
      <c r="AA159" s="1"/>
    </row>
    <row r="160" ht="15.75" customHeight="1">
      <c r="A160" s="1"/>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1"/>
      <c r="B161" s="1"/>
      <c r="C161" s="2"/>
      <c r="D161" s="2"/>
      <c r="E161" s="2"/>
      <c r="F161" s="2"/>
      <c r="G161" s="2"/>
      <c r="H161" s="2"/>
      <c r="I161" s="2"/>
      <c r="J161" s="2"/>
      <c r="K161" s="2"/>
      <c r="L161" s="2"/>
      <c r="M161" s="2"/>
      <c r="N161" s="2"/>
      <c r="O161" s="2"/>
      <c r="P161" s="2"/>
      <c r="Q161" s="2"/>
      <c r="R161" s="2"/>
      <c r="S161" s="2"/>
      <c r="T161" s="2"/>
      <c r="U161" s="2"/>
      <c r="V161" s="2"/>
      <c r="W161" s="1"/>
      <c r="X161" s="1"/>
      <c r="Y161" s="1"/>
      <c r="Z161" s="1"/>
      <c r="AA161" s="1"/>
    </row>
    <row r="162" ht="15.75" customHeight="1">
      <c r="A162" s="1"/>
      <c r="B162" s="1"/>
      <c r="C162" s="2"/>
      <c r="D162" s="2"/>
      <c r="E162" s="2"/>
      <c r="F162" s="2"/>
      <c r="G162" s="2"/>
      <c r="H162" s="2"/>
      <c r="I162" s="2"/>
      <c r="J162" s="2"/>
      <c r="K162" s="2"/>
      <c r="L162" s="2"/>
      <c r="M162" s="2"/>
      <c r="N162" s="2"/>
      <c r="O162" s="2"/>
      <c r="P162" s="2"/>
      <c r="Q162" s="2"/>
      <c r="R162" s="2"/>
      <c r="S162" s="2"/>
      <c r="T162" s="2"/>
      <c r="U162" s="2"/>
      <c r="V162" s="2"/>
      <c r="W162" s="1"/>
      <c r="X162" s="1"/>
      <c r="Y162" s="1"/>
      <c r="Z162" s="1"/>
      <c r="AA162" s="1"/>
    </row>
    <row r="163" ht="15.75" customHeight="1">
      <c r="A163" s="1"/>
      <c r="B163" s="1"/>
      <c r="C163" s="2"/>
      <c r="D163" s="2"/>
      <c r="E163" s="2"/>
      <c r="F163" s="2"/>
      <c r="G163" s="2"/>
      <c r="H163" s="2"/>
      <c r="I163" s="2"/>
      <c r="J163" s="2"/>
      <c r="K163" s="2"/>
      <c r="L163" s="2"/>
      <c r="M163" s="2"/>
      <c r="N163" s="2"/>
      <c r="O163" s="2"/>
      <c r="P163" s="2"/>
      <c r="Q163" s="2"/>
      <c r="R163" s="2"/>
      <c r="S163" s="2"/>
      <c r="T163" s="2"/>
      <c r="U163" s="2"/>
      <c r="V163" s="2"/>
      <c r="W163" s="1"/>
      <c r="X163" s="1"/>
      <c r="Y163" s="1"/>
      <c r="Z163" s="1"/>
      <c r="AA163" s="1"/>
    </row>
    <row r="164" ht="15.75" customHeight="1">
      <c r="A164" s="1"/>
      <c r="B164" s="1"/>
      <c r="C164" s="2"/>
      <c r="D164" s="2"/>
      <c r="E164" s="2"/>
      <c r="F164" s="2"/>
      <c r="G164" s="2"/>
      <c r="H164" s="2"/>
      <c r="I164" s="2"/>
      <c r="J164" s="2"/>
      <c r="K164" s="2"/>
      <c r="L164" s="2"/>
      <c r="M164" s="2"/>
      <c r="N164" s="2"/>
      <c r="O164" s="2"/>
      <c r="P164" s="2"/>
      <c r="Q164" s="2"/>
      <c r="R164" s="2"/>
      <c r="S164" s="2"/>
      <c r="T164" s="2"/>
      <c r="U164" s="2"/>
      <c r="V164" s="2"/>
      <c r="W164" s="1"/>
      <c r="X164" s="1"/>
      <c r="Y164" s="1"/>
      <c r="Z164" s="1"/>
      <c r="AA164" s="1"/>
    </row>
    <row r="165" ht="15.75" customHeight="1">
      <c r="A165" s="1"/>
      <c r="B165" s="1"/>
      <c r="C165" s="2"/>
      <c r="D165" s="2"/>
      <c r="E165" s="2"/>
      <c r="F165" s="2"/>
      <c r="G165" s="2"/>
      <c r="H165" s="2"/>
      <c r="I165" s="2"/>
      <c r="J165" s="2"/>
      <c r="K165" s="2"/>
      <c r="L165" s="2"/>
      <c r="M165" s="2"/>
      <c r="N165" s="2"/>
      <c r="O165" s="2"/>
      <c r="P165" s="2"/>
      <c r="Q165" s="2"/>
      <c r="R165" s="2"/>
      <c r="S165" s="2"/>
      <c r="T165" s="2"/>
      <c r="U165" s="2"/>
      <c r="V165" s="2"/>
      <c r="W165" s="1"/>
      <c r="X165" s="1"/>
      <c r="Y165" s="1"/>
      <c r="Z165" s="1"/>
      <c r="AA165" s="1"/>
    </row>
    <row r="166" ht="15.75" customHeight="1">
      <c r="A166" s="1"/>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
      <c r="B167" s="1"/>
      <c r="C167" s="2"/>
      <c r="D167" s="2"/>
      <c r="E167" s="2"/>
      <c r="F167" s="2"/>
      <c r="G167" s="2"/>
      <c r="H167" s="2"/>
      <c r="I167" s="2"/>
      <c r="J167" s="2"/>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1"/>
      <c r="B169" s="1"/>
      <c r="C169" s="2"/>
      <c r="D169" s="2"/>
      <c r="E169" s="2"/>
      <c r="F169" s="2"/>
      <c r="G169" s="2"/>
      <c r="H169" s="2"/>
      <c r="I169" s="2"/>
      <c r="J169" s="2"/>
      <c r="K169" s="2"/>
      <c r="L169" s="2"/>
      <c r="M169" s="2"/>
      <c r="N169" s="2"/>
      <c r="O169" s="2"/>
      <c r="P169" s="2"/>
      <c r="Q169" s="2"/>
      <c r="R169" s="2"/>
      <c r="S169" s="2"/>
      <c r="T169" s="2"/>
      <c r="U169" s="2"/>
      <c r="V169" s="2"/>
      <c r="W169" s="1"/>
      <c r="X169" s="1"/>
      <c r="Y169" s="1"/>
      <c r="Z169" s="1"/>
      <c r="AA169" s="1"/>
    </row>
    <row r="170" ht="15.75" customHeight="1">
      <c r="A170" s="1"/>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
      <c r="B171" s="1"/>
      <c r="C171" s="2"/>
      <c r="D171" s="2"/>
      <c r="E171" s="2"/>
      <c r="F171" s="2"/>
      <c r="G171" s="2"/>
      <c r="H171" s="2"/>
      <c r="I171" s="2"/>
      <c r="J171" s="2"/>
      <c r="K171" s="2"/>
      <c r="L171" s="2"/>
      <c r="M171" s="2"/>
      <c r="N171" s="2"/>
      <c r="O171" s="2"/>
      <c r="P171" s="2"/>
      <c r="Q171" s="2"/>
      <c r="R171" s="2"/>
      <c r="S171" s="2"/>
      <c r="T171" s="2"/>
      <c r="U171" s="2"/>
      <c r="V171" s="2"/>
      <c r="W171" s="1"/>
      <c r="X171" s="1"/>
      <c r="Y171" s="1"/>
      <c r="Z171" s="1"/>
      <c r="AA171" s="1"/>
    </row>
    <row r="172" ht="15.75" customHeight="1">
      <c r="A172" s="1"/>
      <c r="B172" s="1"/>
      <c r="C172" s="2"/>
      <c r="D172" s="2"/>
      <c r="E172" s="2"/>
      <c r="F172" s="2"/>
      <c r="G172" s="2"/>
      <c r="H172" s="2"/>
      <c r="I172" s="2"/>
      <c r="J172" s="2"/>
      <c r="K172" s="2"/>
      <c r="L172" s="2"/>
      <c r="M172" s="2"/>
      <c r="N172" s="2"/>
      <c r="O172" s="2"/>
      <c r="P172" s="2"/>
      <c r="Q172" s="2"/>
      <c r="R172" s="2"/>
      <c r="S172" s="2"/>
      <c r="T172" s="2"/>
      <c r="U172" s="2"/>
      <c r="V172" s="2"/>
      <c r="W172" s="1"/>
      <c r="X172" s="1"/>
      <c r="Y172" s="1"/>
      <c r="Z172" s="1"/>
      <c r="AA172" s="1"/>
    </row>
    <row r="173" ht="15.75" customHeight="1">
      <c r="A173" s="1"/>
      <c r="B173" s="1"/>
      <c r="C173" s="2"/>
      <c r="D173" s="2"/>
      <c r="E173" s="2"/>
      <c r="F173" s="2"/>
      <c r="G173" s="2"/>
      <c r="H173" s="2"/>
      <c r="I173" s="2"/>
      <c r="J173" s="2"/>
      <c r="K173" s="2"/>
      <c r="L173" s="2"/>
      <c r="M173" s="2"/>
      <c r="N173" s="2"/>
      <c r="O173" s="2"/>
      <c r="P173" s="2"/>
      <c r="Q173" s="2"/>
      <c r="R173" s="2"/>
      <c r="S173" s="2"/>
      <c r="T173" s="2"/>
      <c r="U173" s="2"/>
      <c r="V173" s="2"/>
      <c r="W173" s="1"/>
      <c r="X173" s="1"/>
      <c r="Y173" s="1"/>
      <c r="Z173" s="1"/>
      <c r="AA173" s="1"/>
    </row>
    <row r="174" ht="15.75" customHeight="1">
      <c r="A174" s="1"/>
      <c r="B174" s="1"/>
      <c r="C174" s="2"/>
      <c r="D174" s="2"/>
      <c r="E174" s="2"/>
      <c r="F174" s="2"/>
      <c r="G174" s="2"/>
      <c r="H174" s="2"/>
      <c r="I174" s="2"/>
      <c r="J174" s="2"/>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L866" s="2"/>
      <c r="M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L867" s="2"/>
      <c r="M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L868" s="2"/>
      <c r="M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L869" s="2"/>
      <c r="M869" s="2"/>
      <c r="N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L870" s="2"/>
      <c r="M870" s="2"/>
      <c r="N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L871" s="2"/>
      <c r="M871" s="2"/>
      <c r="N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L872" s="2"/>
      <c r="M872" s="2"/>
      <c r="N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L873" s="2"/>
      <c r="M873" s="2"/>
      <c r="N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L874" s="2"/>
      <c r="M874" s="2"/>
      <c r="N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L875" s="2"/>
      <c r="M875" s="2"/>
      <c r="N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L876" s="2"/>
      <c r="M876" s="2"/>
      <c r="N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L877" s="2"/>
      <c r="M877" s="2"/>
      <c r="N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L878" s="2"/>
      <c r="M878" s="2"/>
      <c r="N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L879" s="2"/>
      <c r="M879" s="2"/>
      <c r="N879" s="2"/>
      <c r="O879" s="2"/>
      <c r="P879" s="2"/>
      <c r="Q879" s="2"/>
      <c r="R879" s="2"/>
      <c r="S879" s="2"/>
      <c r="T879" s="2"/>
      <c r="U879" s="2"/>
      <c r="V879" s="2"/>
      <c r="W879" s="1"/>
      <c r="X879" s="1"/>
      <c r="Y879" s="1"/>
      <c r="Z879" s="1"/>
      <c r="AA879" s="1"/>
    </row>
    <row r="880" ht="15.75" customHeight="1">
      <c r="A880" s="1"/>
      <c r="B880" s="1"/>
      <c r="C880" s="2"/>
      <c r="D880" s="2"/>
      <c r="E880" s="2"/>
      <c r="F880" s="2"/>
      <c r="G880" s="2"/>
      <c r="H880" s="2"/>
      <c r="I880" s="2"/>
      <c r="J880" s="2"/>
      <c r="K880" s="2"/>
      <c r="L880" s="2"/>
      <c r="M880" s="2"/>
      <c r="N880" s="2"/>
      <c r="O880" s="2"/>
      <c r="P880" s="2"/>
      <c r="Q880" s="2"/>
      <c r="R880" s="2"/>
      <c r="S880" s="2"/>
      <c r="T880" s="2"/>
      <c r="U880" s="2"/>
      <c r="V880" s="2"/>
      <c r="W880" s="1"/>
      <c r="X880" s="1"/>
      <c r="Y880" s="1"/>
      <c r="Z880" s="1"/>
      <c r="AA880" s="1"/>
    </row>
    <row r="881" ht="15.75" customHeight="1">
      <c r="A881" s="1"/>
      <c r="B881" s="1"/>
      <c r="C881" s="2"/>
      <c r="D881" s="2"/>
      <c r="E881" s="2"/>
      <c r="F881" s="2"/>
      <c r="G881" s="2"/>
      <c r="H881" s="2"/>
      <c r="I881" s="2"/>
      <c r="J881" s="2"/>
      <c r="K881" s="2"/>
      <c r="L881" s="2"/>
      <c r="M881" s="2"/>
      <c r="N881" s="2"/>
      <c r="O881" s="2"/>
      <c r="P881" s="2"/>
      <c r="Q881" s="2"/>
      <c r="R881" s="2"/>
      <c r="S881" s="2"/>
      <c r="T881" s="2"/>
      <c r="U881" s="2"/>
      <c r="V881" s="2"/>
      <c r="W881" s="1"/>
      <c r="X881" s="1"/>
      <c r="Y881" s="1"/>
      <c r="Z881" s="1"/>
      <c r="AA881" s="1"/>
    </row>
    <row r="882" ht="15.75" customHeight="1">
      <c r="A882" s="1"/>
      <c r="B882" s="1"/>
      <c r="C882" s="2"/>
      <c r="D882" s="2"/>
      <c r="E882" s="2"/>
      <c r="F882" s="2"/>
      <c r="G882" s="2"/>
      <c r="H882" s="2"/>
      <c r="I882" s="2"/>
      <c r="J882" s="2"/>
      <c r="K882" s="2"/>
      <c r="L882" s="2"/>
      <c r="M882" s="2"/>
      <c r="N882" s="2"/>
      <c r="O882" s="2"/>
      <c r="P882" s="2"/>
      <c r="Q882" s="2"/>
      <c r="R882" s="2"/>
      <c r="S882" s="2"/>
      <c r="T882" s="2"/>
      <c r="U882" s="2"/>
      <c r="V882" s="2"/>
      <c r="W882" s="1"/>
      <c r="X882" s="1"/>
      <c r="Y882" s="1"/>
      <c r="Z882" s="1"/>
      <c r="AA882" s="1"/>
    </row>
    <row r="883" ht="15.75" customHeight="1">
      <c r="A883" s="1"/>
      <c r="B883" s="1"/>
      <c r="C883" s="2"/>
      <c r="D883" s="2"/>
      <c r="E883" s="2"/>
      <c r="F883" s="2"/>
      <c r="G883" s="2"/>
      <c r="H883" s="2"/>
      <c r="I883" s="2"/>
      <c r="J883" s="2"/>
      <c r="K883" s="2"/>
      <c r="L883" s="2"/>
      <c r="M883" s="2"/>
      <c r="N883" s="2"/>
      <c r="O883" s="2"/>
      <c r="P883" s="2"/>
      <c r="Q883" s="2"/>
      <c r="R883" s="2"/>
      <c r="S883" s="2"/>
      <c r="T883" s="2"/>
      <c r="U883" s="2"/>
      <c r="V883" s="2"/>
      <c r="W883" s="1"/>
      <c r="X883" s="1"/>
      <c r="Y883" s="1"/>
      <c r="Z883" s="1"/>
      <c r="AA883" s="1"/>
    </row>
    <row r="884" ht="15.75" customHeight="1">
      <c r="A884" s="1"/>
      <c r="B884" s="1"/>
      <c r="C884" s="2"/>
      <c r="D884" s="2"/>
      <c r="E884" s="2"/>
      <c r="F884" s="2"/>
      <c r="G884" s="2"/>
      <c r="H884" s="2"/>
      <c r="I884" s="2"/>
      <c r="J884" s="2"/>
      <c r="K884" s="2"/>
      <c r="L884" s="2"/>
      <c r="M884" s="2"/>
      <c r="N884" s="2"/>
      <c r="O884" s="2"/>
      <c r="P884" s="2"/>
      <c r="Q884" s="2"/>
      <c r="R884" s="2"/>
      <c r="S884" s="2"/>
      <c r="T884" s="2"/>
      <c r="U884" s="2"/>
      <c r="V884" s="2"/>
      <c r="W884" s="1"/>
      <c r="X884" s="1"/>
      <c r="Y884" s="1"/>
      <c r="Z884" s="1"/>
      <c r="AA884" s="1"/>
    </row>
    <row r="885" ht="15.75" customHeight="1">
      <c r="A885" s="1"/>
      <c r="B885" s="1"/>
      <c r="C885" s="2"/>
      <c r="D885" s="2"/>
      <c r="E885" s="2"/>
      <c r="F885" s="2"/>
      <c r="G885" s="2"/>
      <c r="H885" s="2"/>
      <c r="I885" s="2"/>
      <c r="J885" s="2"/>
      <c r="K885" s="2"/>
      <c r="L885" s="2"/>
      <c r="M885" s="2"/>
      <c r="N885" s="2"/>
      <c r="O885" s="2"/>
      <c r="P885" s="2"/>
      <c r="Q885" s="2"/>
      <c r="R885" s="2"/>
      <c r="S885" s="2"/>
      <c r="T885" s="2"/>
      <c r="U885" s="2"/>
      <c r="V885" s="2"/>
      <c r="W885" s="1"/>
      <c r="X885" s="1"/>
      <c r="Y885" s="1"/>
      <c r="Z885" s="1"/>
      <c r="AA885" s="1"/>
    </row>
    <row r="886" ht="15.75" customHeight="1">
      <c r="A886" s="1"/>
      <c r="B886" s="1"/>
      <c r="C886" s="2"/>
      <c r="D886" s="2"/>
      <c r="E886" s="2"/>
      <c r="F886" s="2"/>
      <c r="G886" s="2"/>
      <c r="H886" s="2"/>
      <c r="I886" s="2"/>
      <c r="J886" s="2"/>
      <c r="K886" s="2"/>
      <c r="L886" s="2"/>
      <c r="M886" s="2"/>
      <c r="N886" s="2"/>
      <c r="O886" s="2"/>
      <c r="P886" s="2"/>
      <c r="Q886" s="2"/>
      <c r="R886" s="2"/>
      <c r="S886" s="2"/>
      <c r="T886" s="2"/>
      <c r="U886" s="2"/>
      <c r="V886" s="2"/>
      <c r="W886" s="1"/>
      <c r="X886" s="1"/>
      <c r="Y886" s="1"/>
      <c r="Z886" s="1"/>
      <c r="AA886" s="1"/>
    </row>
    <row r="887" ht="15.75" customHeight="1">
      <c r="A887" s="1"/>
      <c r="B887" s="1"/>
      <c r="C887" s="2"/>
      <c r="D887" s="2"/>
      <c r="E887" s="2"/>
      <c r="F887" s="2"/>
      <c r="G887" s="2"/>
      <c r="H887" s="2"/>
      <c r="I887" s="2"/>
      <c r="J887" s="2"/>
      <c r="K887" s="2"/>
      <c r="L887" s="2"/>
      <c r="M887" s="2"/>
      <c r="N887" s="2"/>
      <c r="O887" s="2"/>
      <c r="P887" s="2"/>
      <c r="Q887" s="2"/>
      <c r="R887" s="2"/>
      <c r="S887" s="2"/>
      <c r="T887" s="2"/>
      <c r="U887" s="2"/>
      <c r="V887" s="2"/>
      <c r="W887" s="1"/>
      <c r="X887" s="1"/>
      <c r="Y887" s="1"/>
      <c r="Z887" s="1"/>
      <c r="AA887" s="1"/>
    </row>
    <row r="888" ht="15.75" customHeight="1">
      <c r="A888" s="1"/>
      <c r="B888" s="1"/>
      <c r="C888" s="2"/>
      <c r="D888" s="2"/>
      <c r="E888" s="2"/>
      <c r="F888" s="2"/>
      <c r="G888" s="2"/>
      <c r="H888" s="2"/>
      <c r="I888" s="2"/>
      <c r="J888" s="2"/>
      <c r="K888" s="2"/>
      <c r="L888" s="2"/>
      <c r="M888" s="2"/>
      <c r="N888" s="2"/>
      <c r="O888" s="2"/>
      <c r="P888" s="2"/>
      <c r="Q888" s="2"/>
      <c r="R888" s="2"/>
      <c r="S888" s="2"/>
      <c r="T888" s="2"/>
      <c r="U888" s="2"/>
      <c r="V888" s="2"/>
      <c r="W888" s="1"/>
      <c r="X888" s="1"/>
      <c r="Y888" s="1"/>
      <c r="Z888" s="1"/>
      <c r="AA888" s="1"/>
    </row>
    <row r="889" ht="15.75" customHeight="1">
      <c r="A889" s="1"/>
      <c r="B889" s="1"/>
      <c r="C889" s="2"/>
      <c r="D889" s="2"/>
      <c r="E889" s="2"/>
      <c r="F889" s="2"/>
      <c r="G889" s="2"/>
      <c r="H889" s="2"/>
      <c r="I889" s="2"/>
      <c r="J889" s="2"/>
      <c r="K889" s="2"/>
      <c r="L889" s="2"/>
      <c r="M889" s="2"/>
      <c r="N889" s="2"/>
      <c r="O889" s="2"/>
      <c r="P889" s="2"/>
      <c r="Q889" s="2"/>
      <c r="R889" s="2"/>
      <c r="S889" s="2"/>
      <c r="T889" s="2"/>
      <c r="U889" s="2"/>
      <c r="V889" s="2"/>
      <c r="W889" s="1"/>
      <c r="X889" s="1"/>
      <c r="Y889" s="1"/>
      <c r="Z889" s="1"/>
      <c r="AA889" s="1"/>
    </row>
    <row r="890" ht="15.75" customHeight="1">
      <c r="A890" s="1"/>
      <c r="B890" s="1"/>
      <c r="C890" s="2"/>
      <c r="D890" s="2"/>
      <c r="E890" s="2"/>
      <c r="F890" s="2"/>
      <c r="G890" s="2"/>
      <c r="H890" s="2"/>
      <c r="I890" s="2"/>
      <c r="J890" s="2"/>
      <c r="K890" s="2"/>
      <c r="L890" s="2"/>
      <c r="M890" s="2"/>
      <c r="N890" s="2"/>
      <c r="O890" s="2"/>
      <c r="P890" s="2"/>
      <c r="Q890" s="2"/>
      <c r="R890" s="2"/>
      <c r="S890" s="2"/>
      <c r="T890" s="2"/>
      <c r="U890" s="2"/>
      <c r="V890" s="2"/>
      <c r="W890" s="1"/>
      <c r="X890" s="1"/>
      <c r="Y890" s="1"/>
      <c r="Z890" s="1"/>
      <c r="AA890" s="1"/>
    </row>
    <row r="891" ht="15.75" customHeight="1">
      <c r="A891" s="1"/>
      <c r="B891" s="1"/>
      <c r="C891" s="2"/>
      <c r="D891" s="2"/>
      <c r="E891" s="2"/>
      <c r="F891" s="2"/>
      <c r="G891" s="2"/>
      <c r="H891" s="2"/>
      <c r="I891" s="2"/>
      <c r="J891" s="2"/>
      <c r="K891" s="2"/>
      <c r="L891" s="2"/>
      <c r="M891" s="2"/>
      <c r="N891" s="2"/>
      <c r="O891" s="2"/>
      <c r="P891" s="2"/>
      <c r="Q891" s="2"/>
      <c r="R891" s="2"/>
      <c r="S891" s="2"/>
      <c r="T891" s="2"/>
      <c r="U891" s="2"/>
      <c r="V891" s="2"/>
      <c r="W891" s="1"/>
      <c r="X891" s="1"/>
      <c r="Y891" s="1"/>
      <c r="Z891" s="1"/>
      <c r="AA891" s="1"/>
    </row>
    <row r="892" ht="15.75" customHeight="1">
      <c r="A892" s="1"/>
      <c r="B892" s="1"/>
      <c r="C892" s="2"/>
      <c r="D892" s="2"/>
      <c r="E892" s="2"/>
      <c r="F892" s="2"/>
      <c r="G892" s="2"/>
      <c r="H892" s="2"/>
      <c r="I892" s="2"/>
      <c r="J892" s="2"/>
      <c r="K892" s="2"/>
      <c r="L892" s="2"/>
      <c r="M892" s="2"/>
      <c r="N892" s="2"/>
      <c r="O892" s="2"/>
      <c r="P892" s="2"/>
      <c r="Q892" s="2"/>
      <c r="R892" s="2"/>
      <c r="S892" s="2"/>
      <c r="T892" s="2"/>
      <c r="U892" s="2"/>
      <c r="V892" s="2"/>
      <c r="W892" s="1"/>
      <c r="X892" s="1"/>
      <c r="Y892" s="1"/>
      <c r="Z892" s="1"/>
      <c r="AA892" s="1"/>
    </row>
    <row r="893" ht="15.75" customHeight="1">
      <c r="A893" s="1"/>
      <c r="B893" s="1"/>
      <c r="C893" s="2"/>
      <c r="D893" s="2"/>
      <c r="E893" s="2"/>
      <c r="F893" s="2"/>
      <c r="G893" s="2"/>
      <c r="H893" s="2"/>
      <c r="I893" s="2"/>
      <c r="J893" s="2"/>
      <c r="K893" s="2"/>
      <c r="L893" s="2"/>
      <c r="M893" s="2"/>
      <c r="N893" s="2"/>
      <c r="O893" s="2"/>
      <c r="P893" s="2"/>
      <c r="Q893" s="2"/>
      <c r="R893" s="2"/>
      <c r="S893" s="2"/>
      <c r="T893" s="2"/>
      <c r="U893" s="2"/>
      <c r="V893" s="2"/>
      <c r="W893" s="1"/>
      <c r="X893" s="1"/>
      <c r="Y893" s="1"/>
      <c r="Z893" s="1"/>
      <c r="AA893" s="1"/>
    </row>
    <row r="894" ht="15.75" customHeight="1">
      <c r="A894" s="1"/>
      <c r="B894" s="1"/>
      <c r="C894" s="2"/>
      <c r="D894" s="2"/>
      <c r="E894" s="2"/>
      <c r="F894" s="2"/>
      <c r="G894" s="2"/>
      <c r="H894" s="2"/>
      <c r="I894" s="2"/>
      <c r="J894" s="2"/>
      <c r="K894" s="2"/>
      <c r="L894" s="2"/>
      <c r="M894" s="2"/>
      <c r="N894" s="2"/>
      <c r="O894" s="2"/>
      <c r="P894" s="2"/>
      <c r="Q894" s="2"/>
      <c r="R894" s="2"/>
      <c r="S894" s="2"/>
      <c r="T894" s="2"/>
      <c r="U894" s="2"/>
      <c r="V894" s="2"/>
      <c r="W894" s="1"/>
      <c r="X894" s="1"/>
      <c r="Y894" s="1"/>
      <c r="Z894" s="1"/>
      <c r="AA894" s="1"/>
    </row>
    <row r="895" ht="15.75" customHeight="1">
      <c r="A895" s="1"/>
      <c r="B895" s="1"/>
      <c r="C895" s="2"/>
      <c r="D895" s="2"/>
      <c r="E895" s="2"/>
      <c r="F895" s="2"/>
      <c r="G895" s="2"/>
      <c r="H895" s="2"/>
      <c r="I895" s="2"/>
      <c r="J895" s="2"/>
      <c r="K895" s="2"/>
      <c r="L895" s="2"/>
      <c r="M895" s="2"/>
      <c r="N895" s="2"/>
      <c r="O895" s="2"/>
      <c r="P895" s="2"/>
      <c r="Q895" s="2"/>
      <c r="R895" s="2"/>
      <c r="S895" s="2"/>
      <c r="T895" s="2"/>
      <c r="U895" s="2"/>
      <c r="V895" s="2"/>
      <c r="W895" s="1"/>
      <c r="X895" s="1"/>
      <c r="Y895" s="1"/>
      <c r="Z895" s="1"/>
      <c r="AA895" s="1"/>
    </row>
    <row r="896" ht="15.75" customHeight="1">
      <c r="A896" s="1"/>
      <c r="B896" s="1"/>
      <c r="C896" s="2"/>
      <c r="D896" s="2"/>
      <c r="E896" s="2"/>
      <c r="F896" s="2"/>
      <c r="G896" s="2"/>
      <c r="H896" s="2"/>
      <c r="I896" s="2"/>
      <c r="J896" s="2"/>
      <c r="K896" s="2"/>
      <c r="L896" s="2"/>
      <c r="M896" s="2"/>
      <c r="N896" s="2"/>
      <c r="O896" s="2"/>
      <c r="P896" s="2"/>
      <c r="Q896" s="2"/>
      <c r="R896" s="2"/>
      <c r="S896" s="2"/>
      <c r="T896" s="2"/>
      <c r="U896" s="2"/>
      <c r="V896" s="2"/>
      <c r="W896" s="1"/>
      <c r="X896" s="1"/>
      <c r="Y896" s="1"/>
      <c r="Z896" s="1"/>
      <c r="AA896" s="1"/>
    </row>
    <row r="897" ht="15.75" customHeight="1">
      <c r="A897" s="1"/>
      <c r="B897" s="1"/>
      <c r="C897" s="2"/>
      <c r="D897" s="2"/>
      <c r="E897" s="2"/>
      <c r="F897" s="2"/>
      <c r="G897" s="2"/>
      <c r="H897" s="2"/>
      <c r="I897" s="2"/>
      <c r="J897" s="2"/>
      <c r="K897" s="2"/>
      <c r="L897" s="2"/>
      <c r="M897" s="2"/>
      <c r="N897" s="2"/>
      <c r="O897" s="2"/>
      <c r="P897" s="2"/>
      <c r="Q897" s="2"/>
      <c r="R897" s="2"/>
      <c r="S897" s="2"/>
      <c r="T897" s="2"/>
      <c r="U897" s="2"/>
      <c r="V897" s="2"/>
      <c r="W897" s="1"/>
      <c r="X897" s="1"/>
      <c r="Y897" s="1"/>
      <c r="Z897" s="1"/>
      <c r="AA897" s="1"/>
    </row>
    <row r="898" ht="15.75" customHeight="1">
      <c r="A898" s="1"/>
      <c r="B898" s="1"/>
      <c r="C898" s="2"/>
      <c r="D898" s="2"/>
      <c r="E898" s="2"/>
      <c r="F898" s="2"/>
      <c r="G898" s="2"/>
      <c r="H898" s="2"/>
      <c r="I898" s="2"/>
      <c r="J898" s="2"/>
      <c r="K898" s="2"/>
      <c r="L898" s="2"/>
      <c r="M898" s="2"/>
      <c r="N898" s="2"/>
      <c r="O898" s="2"/>
      <c r="P898" s="2"/>
      <c r="Q898" s="2"/>
      <c r="R898" s="2"/>
      <c r="S898" s="2"/>
      <c r="T898" s="2"/>
      <c r="U898" s="2"/>
      <c r="V898" s="2"/>
      <c r="W898" s="1"/>
      <c r="X898" s="1"/>
      <c r="Y898" s="1"/>
      <c r="Z898" s="1"/>
      <c r="AA898" s="1"/>
    </row>
    <row r="899" ht="15.75" customHeight="1">
      <c r="A899" s="1"/>
      <c r="B899" s="1"/>
      <c r="C899" s="2"/>
      <c r="D899" s="2"/>
      <c r="E899" s="2"/>
      <c r="F899" s="2"/>
      <c r="G899" s="2"/>
      <c r="H899" s="2"/>
      <c r="I899" s="2"/>
      <c r="J899" s="2"/>
      <c r="K899" s="2"/>
      <c r="L899" s="2"/>
      <c r="M899" s="2"/>
      <c r="N899" s="2"/>
      <c r="O899" s="2"/>
      <c r="P899" s="2"/>
      <c r="Q899" s="2"/>
      <c r="R899" s="2"/>
      <c r="S899" s="2"/>
      <c r="T899" s="2"/>
      <c r="U899" s="2"/>
      <c r="V899" s="2"/>
      <c r="W899" s="1"/>
      <c r="X899" s="1"/>
      <c r="Y899" s="1"/>
      <c r="Z899" s="1"/>
      <c r="AA899" s="1"/>
    </row>
    <row r="900" ht="15.75" customHeight="1">
      <c r="A900" s="1"/>
      <c r="B900" s="1"/>
      <c r="C900" s="2"/>
      <c r="D900" s="2"/>
      <c r="E900" s="2"/>
      <c r="F900" s="2"/>
      <c r="G900" s="2"/>
      <c r="H900" s="2"/>
      <c r="I900" s="2"/>
      <c r="J900" s="2"/>
      <c r="K900" s="2"/>
      <c r="L900" s="2"/>
      <c r="M900" s="2"/>
      <c r="N900" s="2"/>
      <c r="O900" s="2"/>
      <c r="P900" s="2"/>
      <c r="Q900" s="2"/>
      <c r="R900" s="2"/>
      <c r="S900" s="2"/>
      <c r="T900" s="2"/>
      <c r="U900" s="2"/>
      <c r="V900" s="2"/>
      <c r="W900" s="1"/>
      <c r="X900" s="1"/>
      <c r="Y900" s="1"/>
      <c r="Z900" s="1"/>
      <c r="AA900" s="1"/>
    </row>
    <row r="901" ht="15.75" customHeight="1">
      <c r="A901" s="1"/>
      <c r="B901" s="1"/>
      <c r="C901" s="2"/>
      <c r="D901" s="2"/>
      <c r="E901" s="2"/>
      <c r="F901" s="2"/>
      <c r="G901" s="2"/>
      <c r="H901" s="2"/>
      <c r="I901" s="2"/>
      <c r="J901" s="2"/>
      <c r="K901" s="2"/>
      <c r="L901" s="2"/>
      <c r="M901" s="2"/>
      <c r="N901" s="2"/>
      <c r="O901" s="2"/>
      <c r="P901" s="2"/>
      <c r="Q901" s="2"/>
      <c r="R901" s="2"/>
      <c r="S901" s="2"/>
      <c r="T901" s="2"/>
      <c r="U901" s="2"/>
      <c r="V901" s="2"/>
      <c r="W901" s="1"/>
      <c r="X901" s="1"/>
      <c r="Y901" s="1"/>
      <c r="Z901" s="1"/>
      <c r="AA901" s="1"/>
    </row>
    <row r="902" ht="15.75" customHeight="1">
      <c r="A902" s="1"/>
      <c r="B902" s="1"/>
      <c r="C902" s="2"/>
      <c r="D902" s="2"/>
      <c r="E902" s="2"/>
      <c r="F902" s="2"/>
      <c r="G902" s="2"/>
      <c r="H902" s="2"/>
      <c r="I902" s="2"/>
      <c r="J902" s="2"/>
      <c r="K902" s="2"/>
      <c r="L902" s="2"/>
      <c r="M902" s="2"/>
      <c r="N902" s="2"/>
      <c r="O902" s="2"/>
      <c r="P902" s="2"/>
      <c r="Q902" s="2"/>
      <c r="R902" s="2"/>
      <c r="S902" s="2"/>
      <c r="T902" s="2"/>
      <c r="U902" s="2"/>
      <c r="V902" s="2"/>
      <c r="W902" s="1"/>
      <c r="X902" s="1"/>
      <c r="Y902" s="1"/>
      <c r="Z902" s="1"/>
      <c r="AA902" s="1"/>
    </row>
    <row r="903" ht="15.75" customHeight="1">
      <c r="A903" s="1"/>
      <c r="B903" s="1"/>
      <c r="C903" s="2"/>
      <c r="D903" s="2"/>
      <c r="E903" s="2"/>
      <c r="F903" s="2"/>
      <c r="G903" s="2"/>
      <c r="H903" s="2"/>
      <c r="I903" s="2"/>
      <c r="J903" s="2"/>
      <c r="K903" s="2"/>
      <c r="L903" s="2"/>
      <c r="M903" s="2"/>
      <c r="N903" s="2"/>
      <c r="O903" s="2"/>
      <c r="P903" s="2"/>
      <c r="Q903" s="2"/>
      <c r="R903" s="2"/>
      <c r="S903" s="2"/>
      <c r="T903" s="2"/>
      <c r="U903" s="2"/>
      <c r="V903" s="2"/>
      <c r="W903" s="1"/>
      <c r="X903" s="1"/>
      <c r="Y903" s="1"/>
      <c r="Z903" s="1"/>
      <c r="AA903" s="1"/>
    </row>
    <row r="904" ht="15.75" customHeight="1">
      <c r="A904" s="1"/>
      <c r="B904" s="1"/>
      <c r="C904" s="2"/>
      <c r="D904" s="2"/>
      <c r="E904" s="2"/>
      <c r="F904" s="2"/>
      <c r="G904" s="2"/>
      <c r="H904" s="2"/>
      <c r="I904" s="2"/>
      <c r="J904" s="2"/>
      <c r="K904" s="2"/>
      <c r="L904" s="2"/>
      <c r="M904" s="2"/>
      <c r="N904" s="2"/>
      <c r="O904" s="2"/>
      <c r="P904" s="2"/>
      <c r="Q904" s="2"/>
      <c r="R904" s="2"/>
      <c r="S904" s="2"/>
      <c r="T904" s="2"/>
      <c r="U904" s="2"/>
      <c r="V904" s="2"/>
      <c r="W904" s="1"/>
      <c r="X904" s="1"/>
      <c r="Y904" s="1"/>
      <c r="Z904" s="1"/>
      <c r="AA904" s="1"/>
    </row>
    <row r="905" ht="15.75" customHeight="1">
      <c r="A905" s="1"/>
      <c r="B905" s="1"/>
      <c r="C905" s="2"/>
      <c r="D905" s="2"/>
      <c r="E905" s="2"/>
      <c r="F905" s="2"/>
      <c r="G905" s="2"/>
      <c r="H905" s="2"/>
      <c r="I905" s="2"/>
      <c r="J905" s="2"/>
      <c r="K905" s="2"/>
      <c r="L905" s="2"/>
      <c r="M905" s="2"/>
      <c r="N905" s="2"/>
      <c r="O905" s="2"/>
      <c r="P905" s="2"/>
      <c r="Q905" s="2"/>
      <c r="R905" s="2"/>
      <c r="S905" s="2"/>
      <c r="T905" s="2"/>
      <c r="U905" s="2"/>
      <c r="V905" s="2"/>
      <c r="W905" s="1"/>
      <c r="X905" s="1"/>
      <c r="Y905" s="1"/>
      <c r="Z905" s="1"/>
      <c r="AA905" s="1"/>
    </row>
    <row r="906" ht="15.75" customHeight="1">
      <c r="A906" s="1"/>
      <c r="B906" s="1"/>
      <c r="C906" s="2"/>
      <c r="D906" s="2"/>
      <c r="E906" s="2"/>
      <c r="F906" s="2"/>
      <c r="G906" s="2"/>
      <c r="H906" s="2"/>
      <c r="I906" s="2"/>
      <c r="J906" s="2"/>
      <c r="K906" s="2"/>
      <c r="N906" s="2"/>
      <c r="O906" s="2"/>
      <c r="P906" s="2"/>
      <c r="Q906" s="2"/>
      <c r="R906" s="2"/>
      <c r="S906" s="2"/>
      <c r="T906" s="2"/>
      <c r="U906" s="2"/>
      <c r="V906" s="2"/>
      <c r="W906" s="1"/>
      <c r="X906" s="1"/>
      <c r="Y906" s="1"/>
      <c r="Z906" s="1"/>
      <c r="AA906" s="1"/>
    </row>
    <row r="907" ht="15.75" customHeight="1">
      <c r="A907" s="1"/>
      <c r="B907" s="1"/>
      <c r="C907" s="2"/>
      <c r="D907" s="2"/>
      <c r="E907" s="2"/>
      <c r="F907" s="2"/>
      <c r="G907" s="2"/>
      <c r="H907" s="2"/>
      <c r="I907" s="2"/>
      <c r="J907" s="2"/>
      <c r="K907" s="2"/>
      <c r="N907" s="2"/>
      <c r="O907" s="2"/>
      <c r="P907" s="2"/>
      <c r="Q907" s="2"/>
      <c r="R907" s="2"/>
      <c r="S907" s="2"/>
      <c r="T907" s="2"/>
      <c r="U907" s="2"/>
      <c r="V907" s="2"/>
      <c r="W907" s="1"/>
      <c r="X907" s="1"/>
      <c r="Y907" s="1"/>
      <c r="Z907" s="1"/>
      <c r="AA907" s="1"/>
    </row>
    <row r="908" ht="15.75" customHeight="1">
      <c r="A908" s="1"/>
      <c r="B908" s="1"/>
      <c r="C908" s="2"/>
      <c r="D908" s="2"/>
      <c r="E908" s="2"/>
      <c r="F908" s="2"/>
      <c r="G908" s="2"/>
      <c r="H908" s="2"/>
      <c r="I908" s="2"/>
      <c r="J908" s="2"/>
      <c r="K908" s="2"/>
      <c r="N908" s="2"/>
      <c r="O908" s="2"/>
      <c r="P908" s="2"/>
      <c r="Q908" s="2"/>
      <c r="R908" s="2"/>
      <c r="S908" s="2"/>
      <c r="T908" s="2"/>
      <c r="U908" s="2"/>
      <c r="V908" s="2"/>
      <c r="W908" s="1"/>
      <c r="X908" s="1"/>
      <c r="Y908" s="1"/>
      <c r="Z908" s="1"/>
      <c r="AA908" s="1"/>
    </row>
    <row r="909" ht="15.75" customHeight="1">
      <c r="A909" s="1"/>
      <c r="B909" s="1"/>
      <c r="C909" s="2"/>
      <c r="D909" s="2"/>
      <c r="E909" s="2"/>
      <c r="F909" s="2"/>
      <c r="G909" s="2"/>
      <c r="H909" s="2"/>
      <c r="I909" s="2"/>
      <c r="J909" s="2"/>
      <c r="K909" s="2"/>
      <c r="O909" s="2"/>
      <c r="P909" s="2"/>
      <c r="Q909" s="2"/>
      <c r="R909" s="2"/>
      <c r="S909" s="2"/>
      <c r="T909" s="2"/>
      <c r="U909" s="2"/>
      <c r="V909" s="2"/>
      <c r="W909" s="1"/>
      <c r="X909" s="1"/>
      <c r="Y909" s="1"/>
      <c r="Z909" s="1"/>
      <c r="AA909" s="1"/>
    </row>
    <row r="910" ht="15.75" customHeight="1">
      <c r="A910" s="1"/>
      <c r="B910" s="1"/>
      <c r="C910" s="2"/>
      <c r="D910" s="2"/>
      <c r="E910" s="2"/>
      <c r="F910" s="2"/>
      <c r="G910" s="2"/>
      <c r="H910" s="2"/>
      <c r="I910" s="2"/>
      <c r="J910" s="2"/>
      <c r="K910" s="2"/>
      <c r="O910" s="2"/>
      <c r="P910" s="2"/>
      <c r="Q910" s="2"/>
      <c r="R910" s="2"/>
      <c r="S910" s="2"/>
      <c r="T910" s="2"/>
      <c r="U910" s="2"/>
      <c r="V910" s="2"/>
      <c r="W910" s="1"/>
      <c r="X910" s="1"/>
      <c r="Y910" s="1"/>
      <c r="Z910" s="1"/>
      <c r="AA910" s="1"/>
    </row>
    <row r="911" ht="15.75" customHeight="1">
      <c r="A911" s="1"/>
      <c r="B911" s="1"/>
      <c r="C911" s="2"/>
      <c r="D911" s="2"/>
      <c r="E911" s="2"/>
      <c r="F911" s="2"/>
      <c r="G911" s="2"/>
      <c r="H911" s="2"/>
      <c r="I911" s="2"/>
      <c r="J911" s="2"/>
      <c r="K911" s="2"/>
      <c r="O911" s="2"/>
      <c r="P911" s="2"/>
      <c r="Q911" s="2"/>
      <c r="R911" s="2"/>
      <c r="S911" s="2"/>
      <c r="T911" s="2"/>
      <c r="U911" s="2"/>
      <c r="V911" s="2"/>
      <c r="W911" s="1"/>
      <c r="X911" s="1"/>
      <c r="Y911" s="1"/>
      <c r="Z911" s="1"/>
      <c r="AA911" s="1"/>
    </row>
    <row r="912" ht="15.75" customHeight="1">
      <c r="A912" s="1"/>
      <c r="B912" s="1"/>
      <c r="C912" s="2"/>
      <c r="D912" s="2"/>
      <c r="E912" s="2"/>
      <c r="F912" s="2"/>
      <c r="G912" s="2"/>
      <c r="H912" s="2"/>
      <c r="I912" s="2"/>
      <c r="J912" s="2"/>
      <c r="K912" s="2"/>
      <c r="O912" s="2"/>
      <c r="P912" s="2"/>
      <c r="Q912" s="2"/>
      <c r="R912" s="2"/>
      <c r="S912" s="2"/>
      <c r="T912" s="2"/>
      <c r="U912" s="2"/>
      <c r="V912" s="2"/>
      <c r="W912" s="1"/>
      <c r="X912" s="1"/>
      <c r="Y912" s="1"/>
      <c r="Z912" s="1"/>
      <c r="AA912" s="1"/>
    </row>
    <row r="913" ht="15.75" customHeight="1">
      <c r="A913" s="1"/>
      <c r="B913" s="1"/>
      <c r="C913" s="2"/>
      <c r="D913" s="2"/>
      <c r="E913" s="2"/>
      <c r="F913" s="2"/>
      <c r="G913" s="2"/>
      <c r="H913" s="2"/>
      <c r="I913" s="2"/>
      <c r="J913" s="2"/>
      <c r="K913" s="2"/>
      <c r="O913" s="2"/>
      <c r="P913" s="2"/>
      <c r="Q913" s="2"/>
      <c r="R913" s="2"/>
      <c r="S913" s="2"/>
      <c r="T913" s="2"/>
      <c r="U913" s="2"/>
      <c r="V913" s="2"/>
      <c r="W913" s="1"/>
      <c r="X913" s="1"/>
      <c r="Y913" s="1"/>
      <c r="Z913" s="1"/>
      <c r="AA913" s="1"/>
    </row>
    <row r="914" ht="15.75" customHeight="1">
      <c r="A914" s="1"/>
      <c r="B914" s="1"/>
      <c r="C914" s="2"/>
      <c r="D914" s="2"/>
      <c r="E914" s="2"/>
      <c r="F914" s="2"/>
      <c r="G914" s="2"/>
      <c r="H914" s="2"/>
      <c r="I914" s="2"/>
      <c r="J914" s="2"/>
      <c r="K914" s="2"/>
      <c r="O914" s="2"/>
      <c r="P914" s="2"/>
      <c r="Q914" s="2"/>
      <c r="R914" s="2"/>
      <c r="S914" s="2"/>
      <c r="T914" s="2"/>
      <c r="U914" s="2"/>
      <c r="V914" s="2"/>
      <c r="W914" s="1"/>
      <c r="X914" s="1"/>
      <c r="Y914" s="1"/>
      <c r="Z914" s="1"/>
      <c r="AA914" s="1"/>
    </row>
    <row r="915" ht="15.75" customHeight="1">
      <c r="A915" s="1"/>
      <c r="B915" s="1"/>
      <c r="C915" s="2"/>
      <c r="D915" s="2"/>
      <c r="E915" s="2"/>
      <c r="F915" s="2"/>
      <c r="G915" s="2"/>
      <c r="H915" s="2"/>
      <c r="I915" s="2"/>
      <c r="J915" s="2"/>
      <c r="K915" s="2"/>
      <c r="O915" s="2"/>
      <c r="P915" s="2"/>
      <c r="Q915" s="2"/>
      <c r="R915" s="2"/>
      <c r="S915" s="2"/>
      <c r="T915" s="2"/>
      <c r="U915" s="2"/>
      <c r="V915" s="2"/>
      <c r="W915" s="1"/>
      <c r="X915" s="1"/>
      <c r="Y915" s="1"/>
      <c r="Z915" s="1"/>
      <c r="AA915" s="1"/>
    </row>
    <row r="916" ht="15.75" customHeight="1">
      <c r="A916" s="1"/>
      <c r="B916" s="1"/>
      <c r="C916" s="2"/>
      <c r="D916" s="2"/>
      <c r="E916" s="2"/>
      <c r="F916" s="2"/>
      <c r="G916" s="2"/>
      <c r="H916" s="2"/>
      <c r="I916" s="2"/>
      <c r="J916" s="2"/>
      <c r="K916" s="2"/>
      <c r="O916" s="2"/>
      <c r="P916" s="2"/>
      <c r="Q916" s="2"/>
      <c r="R916" s="2"/>
      <c r="S916" s="2"/>
      <c r="T916" s="2"/>
      <c r="U916" s="2"/>
      <c r="V916" s="2"/>
      <c r="W916" s="1"/>
      <c r="X916" s="1"/>
      <c r="Y916" s="1"/>
      <c r="Z916" s="1"/>
      <c r="AA916" s="1"/>
    </row>
    <row r="917" ht="15.75" customHeight="1">
      <c r="A917" s="1"/>
      <c r="B917" s="1"/>
      <c r="C917" s="2"/>
      <c r="D917" s="2"/>
      <c r="E917" s="2"/>
      <c r="F917" s="2"/>
      <c r="G917" s="2"/>
      <c r="H917" s="2"/>
      <c r="I917" s="2"/>
      <c r="J917" s="2"/>
      <c r="K917" s="2"/>
      <c r="O917" s="2"/>
      <c r="P917" s="2"/>
      <c r="Q917" s="2"/>
      <c r="R917" s="2"/>
      <c r="S917" s="2"/>
      <c r="T917" s="2"/>
      <c r="U917" s="2"/>
      <c r="V917" s="2"/>
      <c r="W917" s="1"/>
      <c r="X917" s="1"/>
      <c r="Y917" s="1"/>
      <c r="Z917" s="1"/>
      <c r="AA917" s="1"/>
    </row>
    <row r="918" ht="15.75" customHeight="1">
      <c r="A918" s="1"/>
      <c r="B918" s="1"/>
      <c r="C918" s="2"/>
      <c r="D918" s="2"/>
      <c r="E918" s="2"/>
      <c r="F918" s="2"/>
      <c r="G918" s="2"/>
      <c r="H918" s="2"/>
      <c r="I918" s="2"/>
      <c r="J918" s="2"/>
      <c r="K918" s="2"/>
      <c r="O918" s="2"/>
      <c r="P918" s="2"/>
      <c r="Q918" s="2"/>
      <c r="R918" s="2"/>
      <c r="S918" s="2"/>
      <c r="T918" s="2"/>
      <c r="U918" s="2"/>
      <c r="V918" s="2"/>
      <c r="W918" s="1"/>
      <c r="X918" s="1"/>
      <c r="Y918" s="1"/>
      <c r="Z918" s="1"/>
      <c r="AA918" s="1"/>
    </row>
    <row r="919" ht="15.75" customHeight="1">
      <c r="A919" s="1"/>
      <c r="B919" s="1"/>
      <c r="C919" s="2"/>
      <c r="D919" s="2"/>
      <c r="E919" s="2"/>
      <c r="F919" s="2"/>
      <c r="G919" s="2"/>
      <c r="H919" s="2"/>
      <c r="I919" s="2"/>
      <c r="J919" s="2"/>
      <c r="K919" s="2"/>
      <c r="O919" s="2"/>
      <c r="P919" s="2"/>
      <c r="Q919" s="2"/>
      <c r="R919" s="2"/>
      <c r="S919" s="2"/>
      <c r="T919" s="2"/>
      <c r="U919" s="2"/>
      <c r="V919" s="2"/>
      <c r="W919" s="1"/>
      <c r="X919" s="1"/>
      <c r="Y919" s="1"/>
      <c r="Z919" s="1"/>
      <c r="AA919" s="1"/>
    </row>
    <row r="920" ht="15.75" customHeight="1">
      <c r="O920" s="2"/>
      <c r="P920" s="2"/>
      <c r="Q920" s="2"/>
      <c r="R920" s="2"/>
      <c r="S920" s="2"/>
      <c r="T920" s="2"/>
      <c r="U920" s="2"/>
      <c r="V920" s="2"/>
      <c r="W920" s="1"/>
      <c r="X920" s="1"/>
      <c r="Y920" s="1"/>
      <c r="Z920" s="1"/>
      <c r="AA920" s="1"/>
    </row>
    <row r="921" ht="15.75" customHeight="1">
      <c r="Q921" s="2"/>
      <c r="R921" s="2"/>
      <c r="S921" s="2"/>
      <c r="T921" s="2"/>
      <c r="U921" s="2"/>
      <c r="V921" s="2"/>
      <c r="W921" s="1"/>
      <c r="X921" s="1"/>
      <c r="Y921" s="1"/>
      <c r="Z921" s="1"/>
      <c r="AA921" s="1"/>
    </row>
    <row r="922" ht="15.75" customHeight="1">
      <c r="Q922" s="2"/>
      <c r="R922" s="2"/>
      <c r="S922" s="2"/>
      <c r="T922" s="2"/>
      <c r="U922" s="2"/>
      <c r="V922" s="2"/>
      <c r="W922" s="1"/>
      <c r="X922" s="1"/>
      <c r="Y922" s="1"/>
      <c r="Z922" s="1"/>
      <c r="AA922" s="1"/>
    </row>
    <row r="923" ht="15.75" customHeight="1">
      <c r="Q923" s="2"/>
      <c r="R923" s="2"/>
      <c r="S923" s="2"/>
      <c r="T923" s="2"/>
      <c r="U923" s="2"/>
      <c r="V923" s="2"/>
      <c r="W923" s="1"/>
      <c r="X923" s="1"/>
      <c r="Y923" s="1"/>
      <c r="Z923" s="1"/>
      <c r="AA923" s="1"/>
    </row>
    <row r="924" ht="15.75" customHeight="1">
      <c r="Q924" s="2"/>
      <c r="R924" s="2"/>
      <c r="S924" s="2"/>
      <c r="T924" s="2"/>
      <c r="U924" s="2"/>
      <c r="V924" s="2"/>
      <c r="W924" s="1"/>
      <c r="X924" s="1"/>
      <c r="Y924" s="1"/>
      <c r="Z924" s="1"/>
      <c r="AA924" s="1"/>
    </row>
    <row r="925" ht="15.75" customHeight="1">
      <c r="R925" s="2"/>
      <c r="S925" s="2"/>
      <c r="T925" s="2"/>
      <c r="U925" s="2"/>
      <c r="V925" s="2"/>
      <c r="W925" s="1"/>
      <c r="X925" s="1"/>
      <c r="Y925" s="1"/>
      <c r="Z925" s="1"/>
      <c r="AA925" s="1"/>
    </row>
    <row r="926" ht="15.75" customHeight="1">
      <c r="R926" s="2"/>
      <c r="S926" s="2"/>
      <c r="T926" s="2"/>
      <c r="U926" s="2"/>
      <c r="V926" s="2"/>
      <c r="W926" s="1"/>
      <c r="X926" s="1"/>
      <c r="Y926" s="1"/>
      <c r="Z926" s="1"/>
      <c r="AA926" s="1"/>
    </row>
    <row r="927" ht="15.75" customHeight="1">
      <c r="R927" s="2"/>
      <c r="S927" s="2"/>
      <c r="T927" s="2"/>
      <c r="U927" s="2"/>
      <c r="V927" s="2"/>
      <c r="W927" s="1"/>
      <c r="X927" s="1"/>
      <c r="Y927" s="1"/>
      <c r="Z927" s="1"/>
      <c r="AA927" s="1"/>
    </row>
    <row r="928" ht="15.75" customHeight="1">
      <c r="S928" s="2"/>
      <c r="T928" s="2"/>
      <c r="U928" s="2"/>
      <c r="V928" s="2"/>
      <c r="W928" s="1"/>
      <c r="X928" s="1"/>
      <c r="Y928" s="1"/>
      <c r="Z928" s="1"/>
      <c r="AA928" s="1"/>
    </row>
    <row r="929" ht="15.75" customHeight="1">
      <c r="S929" s="2"/>
      <c r="T929" s="2"/>
      <c r="U929" s="2"/>
      <c r="V929" s="2"/>
      <c r="W929" s="1"/>
      <c r="X929" s="1"/>
      <c r="Y929" s="1"/>
      <c r="Z929" s="1"/>
      <c r="AA929" s="1"/>
    </row>
    <row r="930" ht="15.75" customHeight="1">
      <c r="U930" s="2"/>
      <c r="V930" s="2"/>
      <c r="W930" s="1"/>
      <c r="X930" s="1"/>
      <c r="Y930" s="1"/>
      <c r="Z930" s="1"/>
      <c r="AA930" s="1"/>
    </row>
    <row r="931" ht="15.75" customHeight="1">
      <c r="U931" s="2"/>
      <c r="V931" s="2"/>
      <c r="W931" s="1"/>
      <c r="X931" s="1"/>
      <c r="Y931" s="1"/>
      <c r="Z931" s="1"/>
      <c r="AA931" s="1"/>
    </row>
    <row r="932" ht="15.75" customHeight="1">
      <c r="U932" s="2"/>
      <c r="V932" s="2"/>
      <c r="W932" s="1"/>
      <c r="X932" s="1"/>
      <c r="Y932" s="1"/>
      <c r="Z932" s="1"/>
      <c r="AA932" s="1"/>
    </row>
    <row r="933" ht="15.75" customHeight="1">
      <c r="U933" s="2"/>
      <c r="V933" s="2"/>
      <c r="W933" s="1"/>
      <c r="X933" s="1"/>
      <c r="Y933" s="1"/>
      <c r="Z933" s="1"/>
      <c r="AA933" s="1"/>
    </row>
    <row r="934" ht="15.75" customHeight="1">
      <c r="U934" s="2"/>
      <c r="V934" s="2"/>
      <c r="W934" s="1"/>
      <c r="X934" s="1"/>
      <c r="Y934" s="1"/>
      <c r="Z934" s="1"/>
      <c r="AA934" s="1"/>
    </row>
    <row r="935" ht="15.75" customHeight="1">
      <c r="U935" s="2"/>
      <c r="V935" s="2"/>
      <c r="W935" s="1"/>
      <c r="X935" s="1"/>
      <c r="Y935" s="1"/>
      <c r="Z935" s="1"/>
      <c r="AA935" s="1"/>
    </row>
    <row r="936" ht="15.75" customHeight="1">
      <c r="U936" s="2"/>
      <c r="V936" s="2"/>
      <c r="W936" s="1"/>
      <c r="X936" s="1"/>
      <c r="Y936" s="1"/>
      <c r="Z936" s="1"/>
      <c r="AA936" s="1"/>
    </row>
    <row r="937" ht="15.75" customHeight="1">
      <c r="U937" s="2"/>
      <c r="V937" s="2"/>
      <c r="W937" s="1"/>
      <c r="X937" s="1"/>
      <c r="Y937" s="1"/>
      <c r="Z937" s="1"/>
      <c r="AA937" s="1"/>
    </row>
    <row r="938" ht="15.75" customHeight="1">
      <c r="U938" s="2"/>
      <c r="V938" s="2"/>
      <c r="W938" s="1"/>
      <c r="X938" s="1"/>
      <c r="Y938" s="1"/>
      <c r="Z938" s="1"/>
      <c r="AA938" s="1"/>
    </row>
    <row r="939" ht="15.75" customHeight="1">
      <c r="U939" s="2"/>
      <c r="V939" s="2"/>
      <c r="W939" s="1"/>
      <c r="X939" s="1"/>
      <c r="Y939" s="1"/>
      <c r="Z939" s="1"/>
      <c r="AA939" s="1"/>
    </row>
    <row r="940" ht="15.75" customHeight="1">
      <c r="U940" s="2"/>
      <c r="V940" s="2"/>
      <c r="W940" s="1"/>
      <c r="X940" s="1"/>
      <c r="Y940" s="1"/>
      <c r="Z940" s="1"/>
      <c r="AA940" s="1"/>
    </row>
    <row r="941" ht="15.75" customHeight="1">
      <c r="U941" s="2"/>
      <c r="V941" s="2"/>
      <c r="W941" s="1"/>
      <c r="X941" s="1"/>
      <c r="Y941" s="1"/>
      <c r="Z941" s="1"/>
      <c r="AA941" s="1"/>
    </row>
    <row r="942" ht="15.75" customHeight="1">
      <c r="U942" s="2"/>
      <c r="V942" s="2"/>
      <c r="W942" s="1"/>
      <c r="X942" s="1"/>
      <c r="Y942" s="1"/>
      <c r="Z942" s="1"/>
      <c r="AA942" s="1"/>
    </row>
    <row r="943" ht="15.75" customHeight="1">
      <c r="U943" s="2"/>
      <c r="V943" s="2"/>
      <c r="W943" s="1"/>
      <c r="X943" s="1"/>
      <c r="Y943" s="1"/>
      <c r="Z943" s="1"/>
      <c r="AA943" s="1"/>
    </row>
  </sheetData>
  <mergeCells count="211">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25:G25"/>
    <mergeCell ref="H25:I25"/>
    <mergeCell ref="H26:I26"/>
    <mergeCell ref="J26:K26"/>
    <mergeCell ref="H24:I24"/>
    <mergeCell ref="H27:I27"/>
    <mergeCell ref="E24:G24"/>
    <mergeCell ref="J24:K24"/>
    <mergeCell ref="L24:M24"/>
    <mergeCell ref="O24:Q27"/>
    <mergeCell ref="R24:W27"/>
    <mergeCell ref="X24:Y27"/>
    <mergeCell ref="L26:M26"/>
    <mergeCell ref="C30:D30"/>
    <mergeCell ref="C31:D31"/>
    <mergeCell ref="C32:D32"/>
    <mergeCell ref="C33:D33"/>
    <mergeCell ref="C26:D26"/>
    <mergeCell ref="E26:G26"/>
    <mergeCell ref="C27:D27"/>
    <mergeCell ref="E27:G27"/>
    <mergeCell ref="C29:D29"/>
    <mergeCell ref="E29:K29"/>
    <mergeCell ref="E30:K30"/>
    <mergeCell ref="R37:W37"/>
    <mergeCell ref="X37:Y37"/>
    <mergeCell ref="G51:H51"/>
    <mergeCell ref="I51:J51"/>
    <mergeCell ref="O51:Q52"/>
    <mergeCell ref="R51:W52"/>
    <mergeCell ref="X51:Y52"/>
    <mergeCell ref="I53:J53"/>
    <mergeCell ref="O53:Q54"/>
    <mergeCell ref="R53:W54"/>
    <mergeCell ref="X53:Y54"/>
    <mergeCell ref="O55:Q55"/>
    <mergeCell ref="R55:W55"/>
    <mergeCell ref="X55:Y55"/>
    <mergeCell ref="E31:K31"/>
    <mergeCell ref="E32:K32"/>
    <mergeCell ref="E33:K33"/>
    <mergeCell ref="L33:M33"/>
    <mergeCell ref="O33:Q35"/>
    <mergeCell ref="R33:W35"/>
    <mergeCell ref="X33:Y35"/>
    <mergeCell ref="L34:M34"/>
    <mergeCell ref="I36:J36"/>
    <mergeCell ref="O36:Q36"/>
    <mergeCell ref="R36:W36"/>
    <mergeCell ref="X36:Y36"/>
    <mergeCell ref="I37:J37"/>
    <mergeCell ref="I38:J38"/>
    <mergeCell ref="O37:Q37"/>
    <mergeCell ref="O38:Q41"/>
    <mergeCell ref="R38:W41"/>
    <mergeCell ref="X38:Y41"/>
    <mergeCell ref="I40:J40"/>
    <mergeCell ref="R42:W42"/>
    <mergeCell ref="X42:Y42"/>
    <mergeCell ref="R45:W46"/>
    <mergeCell ref="X45:Y46"/>
    <mergeCell ref="O47:Q49"/>
    <mergeCell ref="R47:W49"/>
    <mergeCell ref="X47:Y49"/>
    <mergeCell ref="O50:Q50"/>
    <mergeCell ref="R50:W50"/>
    <mergeCell ref="X50:Y50"/>
    <mergeCell ref="O42:Q42"/>
    <mergeCell ref="C43:H43"/>
    <mergeCell ref="I43:J43"/>
    <mergeCell ref="O43:Q44"/>
    <mergeCell ref="R43:W44"/>
    <mergeCell ref="X43:Y44"/>
    <mergeCell ref="O45:Q46"/>
    <mergeCell ref="C46:H46"/>
    <mergeCell ref="I46:J46"/>
    <mergeCell ref="C49:H49"/>
    <mergeCell ref="I49:J49"/>
    <mergeCell ref="K49:L49"/>
    <mergeCell ref="G50:H50"/>
    <mergeCell ref="I50:J50"/>
    <mergeCell ref="G61:H61"/>
    <mergeCell ref="I61:J61"/>
    <mergeCell ref="O76:Q77"/>
    <mergeCell ref="O78:Q78"/>
    <mergeCell ref="R78:W79"/>
    <mergeCell ref="X78:Y78"/>
    <mergeCell ref="O79:Q79"/>
    <mergeCell ref="X79:Y79"/>
    <mergeCell ref="O73:Q75"/>
    <mergeCell ref="R73:W75"/>
    <mergeCell ref="X73:Y75"/>
    <mergeCell ref="R76:W77"/>
    <mergeCell ref="X76:Y77"/>
    <mergeCell ref="C77:H77"/>
    <mergeCell ref="I77:J77"/>
    <mergeCell ref="C83:H83"/>
    <mergeCell ref="C86:H86"/>
    <mergeCell ref="I86:J86"/>
    <mergeCell ref="C89:H89"/>
    <mergeCell ref="I89:J89"/>
    <mergeCell ref="K89:L89"/>
    <mergeCell ref="I93:J93"/>
    <mergeCell ref="C93:H93"/>
    <mergeCell ref="C96:H96"/>
    <mergeCell ref="I96:J96"/>
    <mergeCell ref="C99:H99"/>
    <mergeCell ref="I99:J99"/>
    <mergeCell ref="C102:H102"/>
    <mergeCell ref="I102:J102"/>
    <mergeCell ref="C119:H119"/>
    <mergeCell ref="C122:H122"/>
    <mergeCell ref="I122:J122"/>
    <mergeCell ref="C125:H125"/>
    <mergeCell ref="I125:J125"/>
    <mergeCell ref="C105:H105"/>
    <mergeCell ref="C109:H109"/>
    <mergeCell ref="I109:J109"/>
    <mergeCell ref="C112:H112"/>
    <mergeCell ref="C116:H116"/>
    <mergeCell ref="I116:J116"/>
    <mergeCell ref="I119:J119"/>
    <mergeCell ref="C53:H53"/>
    <mergeCell ref="C56:H56"/>
    <mergeCell ref="I56:J56"/>
    <mergeCell ref="O56:Q59"/>
    <mergeCell ref="R56:W59"/>
    <mergeCell ref="X56:Y59"/>
    <mergeCell ref="C59:H59"/>
    <mergeCell ref="I59:J59"/>
    <mergeCell ref="G60:H60"/>
    <mergeCell ref="I60:J60"/>
    <mergeCell ref="O60:Q61"/>
    <mergeCell ref="R60:W61"/>
    <mergeCell ref="X60:Y61"/>
    <mergeCell ref="A61:F62"/>
    <mergeCell ref="C64:H64"/>
    <mergeCell ref="C67:H67"/>
    <mergeCell ref="I67:J67"/>
    <mergeCell ref="C70:H70"/>
    <mergeCell ref="J70:K70"/>
    <mergeCell ref="O62:Q63"/>
    <mergeCell ref="R62:W63"/>
    <mergeCell ref="X62:Y63"/>
    <mergeCell ref="I64:J64"/>
    <mergeCell ref="O64:Q66"/>
    <mergeCell ref="R64:W66"/>
    <mergeCell ref="X64:Y66"/>
    <mergeCell ref="R71:W72"/>
    <mergeCell ref="X71:Y72"/>
    <mergeCell ref="O67:Q68"/>
    <mergeCell ref="R67:W68"/>
    <mergeCell ref="X67:Y68"/>
    <mergeCell ref="O69:Q70"/>
    <mergeCell ref="R69:W70"/>
    <mergeCell ref="X69:Y70"/>
    <mergeCell ref="O71:Q72"/>
    <mergeCell ref="C80:H80"/>
    <mergeCell ref="I80:J80"/>
    <mergeCell ref="O80:Q80"/>
    <mergeCell ref="X80:Y80"/>
    <mergeCell ref="O81:Q81"/>
    <mergeCell ref="X81:Y81"/>
    <mergeCell ref="I83:J83"/>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68" t="s">
        <v>194</v>
      </c>
      <c r="J1" s="3"/>
      <c r="K1" s="3"/>
      <c r="L1" s="3"/>
      <c r="M1" s="3"/>
      <c r="N1" s="3"/>
      <c r="O1" s="3"/>
      <c r="P1" s="3"/>
      <c r="Q1" s="3"/>
      <c r="R1" s="3"/>
      <c r="S1" s="3"/>
      <c r="T1" s="3"/>
      <c r="U1" s="3"/>
      <c r="V1" s="3"/>
      <c r="W1" s="3"/>
      <c r="X1" s="3"/>
      <c r="Y1" s="3"/>
      <c r="Z1" s="3"/>
    </row>
    <row r="2">
      <c r="A2" s="169" t="s">
        <v>195</v>
      </c>
      <c r="B2" s="3"/>
      <c r="C2" s="3"/>
      <c r="D2" s="3"/>
      <c r="E2" s="3"/>
      <c r="F2" s="3"/>
      <c r="G2" s="3"/>
      <c r="H2" s="3"/>
      <c r="I2" s="3"/>
      <c r="J2" s="3"/>
      <c r="K2" s="3"/>
      <c r="L2" s="3"/>
      <c r="M2" s="3"/>
      <c r="N2" s="3"/>
      <c r="O2" s="3"/>
      <c r="P2" s="3"/>
      <c r="Q2" s="3"/>
      <c r="R2" s="3"/>
      <c r="S2" s="3"/>
      <c r="T2" s="3"/>
      <c r="U2" s="3"/>
      <c r="V2" s="3"/>
      <c r="W2" s="3"/>
      <c r="X2" s="3"/>
      <c r="Y2" s="3"/>
      <c r="Z2" s="3"/>
    </row>
    <row r="3">
      <c r="A3" s="3" t="s">
        <v>196</v>
      </c>
      <c r="B3" s="3"/>
      <c r="C3" s="3"/>
      <c r="D3" s="3"/>
      <c r="E3" s="3"/>
      <c r="F3" s="3"/>
      <c r="G3" s="3"/>
      <c r="H3" s="3"/>
      <c r="I3" s="3"/>
      <c r="J3" s="3"/>
      <c r="K3" s="3"/>
      <c r="L3" s="3"/>
      <c r="M3" s="3"/>
      <c r="N3" s="3"/>
      <c r="O3" s="3"/>
      <c r="P3" s="3"/>
      <c r="Q3" s="3"/>
      <c r="R3" s="3"/>
      <c r="S3" s="3"/>
      <c r="T3" s="3"/>
      <c r="U3" s="3"/>
      <c r="V3" s="3"/>
      <c r="W3" s="3"/>
      <c r="X3" s="3"/>
      <c r="Y3" s="3"/>
      <c r="Z3" s="3"/>
    </row>
    <row r="4">
      <c r="A4" s="3"/>
      <c r="B4" s="169" t="s">
        <v>197</v>
      </c>
      <c r="C4" s="3"/>
      <c r="D4" s="3"/>
      <c r="E4" s="3"/>
      <c r="F4" s="170">
        <f>F5*F6*0.8</f>
        <v>31.36</v>
      </c>
      <c r="G4" s="169" t="s">
        <v>198</v>
      </c>
      <c r="H4" s="3"/>
      <c r="I4" s="169"/>
      <c r="J4" s="3"/>
      <c r="K4" s="3"/>
      <c r="L4" s="3"/>
      <c r="M4" s="3"/>
      <c r="P4" s="3"/>
      <c r="Q4" s="3"/>
      <c r="R4" s="3"/>
      <c r="S4" s="3"/>
      <c r="T4" s="3"/>
      <c r="U4" s="3"/>
      <c r="V4" s="3"/>
      <c r="W4" s="3"/>
      <c r="X4" s="3"/>
      <c r="Y4" s="3"/>
      <c r="Z4" s="3"/>
    </row>
    <row r="5">
      <c r="A5" s="3"/>
      <c r="B5" s="169" t="s">
        <v>199</v>
      </c>
      <c r="C5" s="3"/>
      <c r="D5" s="3"/>
      <c r="E5" s="3"/>
      <c r="F5" s="171">
        <v>14.0</v>
      </c>
      <c r="G5" s="169" t="s">
        <v>200</v>
      </c>
      <c r="H5" s="3"/>
      <c r="I5" s="3"/>
      <c r="J5" s="3"/>
      <c r="K5" s="3"/>
      <c r="L5" s="3"/>
      <c r="M5" s="3"/>
      <c r="N5" s="3"/>
      <c r="O5" s="3"/>
      <c r="P5" s="3"/>
      <c r="Q5" s="3"/>
      <c r="R5" s="3"/>
      <c r="S5" s="3"/>
      <c r="T5" s="3"/>
      <c r="U5" s="3"/>
      <c r="V5" s="3"/>
      <c r="W5" s="3"/>
      <c r="X5" s="3"/>
      <c r="Y5" s="3"/>
      <c r="Z5" s="3"/>
    </row>
    <row r="6">
      <c r="A6" s="3"/>
      <c r="B6" s="169" t="s">
        <v>201</v>
      </c>
      <c r="C6" s="3"/>
      <c r="D6" s="3"/>
      <c r="E6" s="3"/>
      <c r="F6" s="171">
        <v>2.8</v>
      </c>
      <c r="G6" s="169" t="s">
        <v>202</v>
      </c>
      <c r="H6" s="3"/>
      <c r="I6" s="3"/>
      <c r="J6" s="3"/>
      <c r="K6" s="3"/>
      <c r="L6" s="3"/>
      <c r="M6" s="3"/>
      <c r="N6" s="3"/>
      <c r="O6" s="3"/>
      <c r="P6" s="3"/>
      <c r="Q6" s="3"/>
      <c r="R6" s="3"/>
      <c r="S6" s="3"/>
      <c r="T6" s="3"/>
      <c r="U6" s="3"/>
      <c r="V6" s="3"/>
      <c r="W6" s="3"/>
      <c r="X6" s="3"/>
      <c r="Y6" s="3"/>
      <c r="Z6" s="3"/>
    </row>
    <row r="7">
      <c r="A7" s="3"/>
      <c r="B7" s="169" t="s">
        <v>203</v>
      </c>
      <c r="C7" s="3"/>
      <c r="D7" s="3"/>
      <c r="E7" s="3"/>
      <c r="F7" s="171">
        <v>5.9</v>
      </c>
      <c r="G7" s="169" t="s">
        <v>204</v>
      </c>
      <c r="H7" s="3"/>
      <c r="I7" s="3"/>
      <c r="J7" s="3"/>
      <c r="K7" s="3"/>
      <c r="L7" s="3"/>
      <c r="M7" s="3"/>
      <c r="N7" s="3"/>
      <c r="O7" s="3"/>
      <c r="P7" s="3"/>
      <c r="Q7" s="3"/>
      <c r="R7" s="3"/>
      <c r="S7" s="3"/>
      <c r="T7" s="3"/>
      <c r="U7" s="3"/>
      <c r="V7" s="3"/>
      <c r="W7" s="3"/>
      <c r="X7" s="3"/>
      <c r="Y7" s="3"/>
      <c r="Z7" s="3"/>
    </row>
    <row r="8">
      <c r="A8" s="3"/>
      <c r="B8" s="169" t="s">
        <v>205</v>
      </c>
      <c r="C8" s="3"/>
      <c r="D8" s="3"/>
      <c r="E8" s="3"/>
      <c r="F8" s="171">
        <v>8.7</v>
      </c>
      <c r="G8" s="169" t="s">
        <v>206</v>
      </c>
      <c r="H8" s="3"/>
      <c r="I8" s="3"/>
      <c r="J8" s="3"/>
      <c r="K8" s="3"/>
      <c r="L8" s="3"/>
      <c r="M8" s="3"/>
      <c r="N8" s="3"/>
      <c r="O8" s="3"/>
      <c r="P8" s="3"/>
      <c r="Q8" s="3"/>
      <c r="R8" s="3"/>
      <c r="S8" s="3"/>
      <c r="T8" s="3"/>
      <c r="U8" s="3"/>
      <c r="V8" s="3"/>
      <c r="W8" s="3"/>
      <c r="X8" s="3"/>
      <c r="Y8" s="3"/>
      <c r="Z8" s="3"/>
    </row>
    <row r="9">
      <c r="A9" s="3"/>
      <c r="B9" s="169" t="s">
        <v>207</v>
      </c>
      <c r="C9" s="3"/>
      <c r="D9" s="3"/>
      <c r="E9" s="3"/>
      <c r="F9" s="171">
        <v>4.4</v>
      </c>
      <c r="G9" s="169" t="s">
        <v>208</v>
      </c>
      <c r="H9" s="3"/>
      <c r="I9" s="3"/>
      <c r="J9" s="3"/>
      <c r="K9" s="3"/>
      <c r="L9" s="3"/>
      <c r="M9" s="3"/>
      <c r="N9" s="3"/>
      <c r="O9" s="3"/>
      <c r="P9" s="3"/>
      <c r="Q9" s="3"/>
      <c r="R9" s="3"/>
      <c r="S9" s="3"/>
      <c r="T9" s="3"/>
      <c r="U9" s="3"/>
      <c r="V9" s="3"/>
      <c r="W9" s="3"/>
      <c r="X9" s="3"/>
      <c r="Y9" s="3"/>
      <c r="Z9" s="3"/>
    </row>
    <row r="10">
      <c r="A10" s="3"/>
      <c r="B10" s="169" t="s">
        <v>209</v>
      </c>
      <c r="C10" s="3"/>
      <c r="D10" s="3"/>
      <c r="E10" s="3"/>
      <c r="F10" s="171">
        <v>8.7</v>
      </c>
      <c r="G10" s="169" t="s">
        <v>210</v>
      </c>
      <c r="H10" s="3"/>
      <c r="I10" s="3"/>
      <c r="J10" s="3"/>
      <c r="K10" s="3"/>
      <c r="L10" s="3"/>
      <c r="M10" s="3"/>
      <c r="N10" s="3"/>
      <c r="O10" s="3"/>
      <c r="P10" s="3"/>
      <c r="Q10" s="3"/>
      <c r="R10" s="3"/>
      <c r="S10" s="3"/>
      <c r="T10" s="3"/>
      <c r="U10" s="3"/>
      <c r="V10" s="3"/>
      <c r="W10" s="3"/>
      <c r="X10" s="3"/>
      <c r="Y10" s="3"/>
      <c r="Z10" s="3"/>
    </row>
    <row r="11">
      <c r="A11" s="3"/>
      <c r="B11" s="3" t="s">
        <v>211</v>
      </c>
      <c r="C11" s="3"/>
      <c r="D11" s="3"/>
      <c r="E11" s="3"/>
      <c r="F11" s="3"/>
      <c r="G11" s="3"/>
      <c r="H11" s="3"/>
      <c r="I11" s="3"/>
      <c r="J11" s="3"/>
      <c r="K11" s="3"/>
      <c r="L11" s="3"/>
      <c r="M11" s="3"/>
      <c r="N11" s="3"/>
      <c r="O11" s="3"/>
      <c r="P11" s="3"/>
      <c r="Q11" s="3"/>
      <c r="R11" s="3"/>
      <c r="S11" s="3"/>
      <c r="T11" s="3"/>
      <c r="U11" s="3"/>
      <c r="V11" s="3"/>
      <c r="W11" s="3"/>
      <c r="X11" s="3"/>
      <c r="Y11" s="3"/>
      <c r="Z11" s="3"/>
    </row>
    <row r="12">
      <c r="A12" s="3"/>
      <c r="C12" s="169" t="s">
        <v>212</v>
      </c>
      <c r="D12" s="172">
        <v>6.4</v>
      </c>
      <c r="E12" s="169" t="s">
        <v>213</v>
      </c>
      <c r="F12" s="3"/>
      <c r="G12" s="3"/>
      <c r="H12" s="3"/>
      <c r="I12" s="3"/>
      <c r="J12" s="3"/>
      <c r="K12" s="3"/>
      <c r="L12" s="3"/>
      <c r="M12" s="3"/>
      <c r="N12" s="3"/>
      <c r="O12" s="3"/>
      <c r="P12" s="3"/>
      <c r="Q12" s="3"/>
      <c r="R12" s="3"/>
      <c r="S12" s="3"/>
      <c r="T12" s="3"/>
      <c r="U12" s="3"/>
      <c r="V12" s="3"/>
      <c r="W12" s="3"/>
      <c r="X12" s="3"/>
      <c r="Y12" s="3"/>
      <c r="Z12" s="3"/>
    </row>
    <row r="13">
      <c r="A13" s="3"/>
      <c r="C13" s="169" t="s">
        <v>214</v>
      </c>
      <c r="D13" s="172">
        <v>0.0</v>
      </c>
      <c r="E13" s="169" t="s">
        <v>215</v>
      </c>
      <c r="F13" s="3"/>
      <c r="G13" s="3"/>
      <c r="H13" s="3"/>
      <c r="I13" s="3"/>
      <c r="J13" s="3"/>
      <c r="K13" s="3"/>
      <c r="L13" s="3"/>
      <c r="M13" s="3"/>
      <c r="N13" s="3"/>
      <c r="O13" s="3"/>
      <c r="P13" s="3"/>
      <c r="Q13" s="3"/>
      <c r="R13" s="3"/>
      <c r="S13" s="3"/>
      <c r="T13" s="3"/>
      <c r="U13" s="3"/>
      <c r="V13" s="3"/>
      <c r="W13" s="3"/>
      <c r="X13" s="3"/>
      <c r="Y13" s="3"/>
      <c r="Z13" s="3"/>
    </row>
    <row r="14">
      <c r="A14" s="3"/>
      <c r="C14" s="169" t="s">
        <v>216</v>
      </c>
      <c r="D14" s="172">
        <v>3.5</v>
      </c>
      <c r="E14" s="169" t="s">
        <v>217</v>
      </c>
      <c r="F14" s="3"/>
      <c r="G14" s="3"/>
      <c r="H14" s="3"/>
      <c r="I14" s="3"/>
      <c r="J14" s="3"/>
      <c r="K14" s="3"/>
      <c r="L14" s="3"/>
      <c r="M14" s="3"/>
      <c r="N14" s="3"/>
      <c r="O14" s="3"/>
      <c r="P14" s="3"/>
      <c r="Q14" s="3"/>
      <c r="R14" s="3"/>
      <c r="S14" s="3"/>
      <c r="T14" s="3"/>
      <c r="U14" s="3"/>
      <c r="V14" s="3"/>
      <c r="W14" s="3"/>
      <c r="X14" s="3"/>
      <c r="Y14" s="3"/>
      <c r="Z14" s="3"/>
    </row>
    <row r="15">
      <c r="A15" s="3"/>
      <c r="B15" s="3" t="s">
        <v>218</v>
      </c>
      <c r="C15" s="3"/>
      <c r="D15" s="3"/>
      <c r="E15" s="3"/>
      <c r="F15" s="3"/>
      <c r="G15" s="3"/>
      <c r="H15" s="3"/>
      <c r="I15" s="3"/>
      <c r="J15" s="3"/>
      <c r="K15" s="3"/>
      <c r="L15" s="3"/>
      <c r="M15" s="3"/>
      <c r="N15" s="3"/>
      <c r="O15" s="3"/>
      <c r="P15" s="3"/>
      <c r="Q15" s="3"/>
      <c r="R15" s="3"/>
      <c r="S15" s="3"/>
      <c r="T15" s="3"/>
      <c r="U15" s="3"/>
      <c r="V15" s="3"/>
      <c r="W15" s="3"/>
      <c r="X15" s="3"/>
      <c r="Y15" s="3"/>
      <c r="Z15" s="3"/>
    </row>
    <row r="16">
      <c r="B16" s="3" t="s">
        <v>219</v>
      </c>
    </row>
    <row r="17">
      <c r="C17" s="169" t="s">
        <v>212</v>
      </c>
      <c r="D17" s="172">
        <v>2.0</v>
      </c>
      <c r="E17" s="168" t="s">
        <v>213</v>
      </c>
    </row>
    <row r="18">
      <c r="C18" s="169" t="s">
        <v>214</v>
      </c>
      <c r="D18" s="172">
        <v>0.0</v>
      </c>
      <c r="E18" s="168" t="s">
        <v>215</v>
      </c>
    </row>
    <row r="19">
      <c r="C19" s="169" t="s">
        <v>216</v>
      </c>
      <c r="D19" s="172">
        <v>2.0</v>
      </c>
      <c r="E19" s="168" t="s">
        <v>217</v>
      </c>
    </row>
    <row r="20">
      <c r="A20" s="3"/>
      <c r="B20" s="3" t="s">
        <v>218</v>
      </c>
      <c r="C20" s="3"/>
      <c r="D20" s="3"/>
      <c r="E20" s="3"/>
      <c r="F20" s="3"/>
      <c r="G20" s="3"/>
      <c r="H20" s="3"/>
      <c r="I20" s="3"/>
      <c r="J20" s="3"/>
      <c r="K20" s="3"/>
      <c r="L20" s="3"/>
      <c r="M20" s="3"/>
      <c r="N20" s="3"/>
      <c r="O20" s="3"/>
      <c r="P20" s="3"/>
      <c r="Q20" s="3"/>
      <c r="R20" s="3"/>
      <c r="S20" s="3"/>
      <c r="T20" s="3"/>
      <c r="U20" s="3"/>
      <c r="V20" s="3"/>
      <c r="W20" s="3"/>
      <c r="X20" s="3"/>
      <c r="Y20" s="3"/>
      <c r="Z20" s="3"/>
    </row>
    <row r="21">
      <c r="B21" s="3" t="s">
        <v>220</v>
      </c>
    </row>
    <row r="22">
      <c r="A22" s="3"/>
      <c r="C22" s="169" t="s">
        <v>212</v>
      </c>
      <c r="D22" s="172">
        <v>6.8</v>
      </c>
      <c r="E22" s="168" t="s">
        <v>213</v>
      </c>
      <c r="F22" s="3"/>
      <c r="G22" s="3"/>
      <c r="H22" s="3"/>
      <c r="I22" s="3"/>
      <c r="J22" s="3"/>
      <c r="K22" s="3"/>
      <c r="L22" s="3"/>
      <c r="M22" s="3"/>
      <c r="N22" s="3"/>
      <c r="O22" s="3"/>
      <c r="P22" s="3"/>
      <c r="Q22" s="3"/>
      <c r="R22" s="3"/>
      <c r="S22" s="3"/>
      <c r="T22" s="3"/>
      <c r="U22" s="3"/>
      <c r="V22" s="3"/>
      <c r="W22" s="3"/>
      <c r="X22" s="3"/>
      <c r="Y22" s="3"/>
      <c r="Z22" s="3"/>
    </row>
    <row r="23">
      <c r="A23" s="3"/>
      <c r="C23" s="169" t="s">
        <v>214</v>
      </c>
      <c r="D23" s="172">
        <v>0.0</v>
      </c>
      <c r="E23" s="168" t="s">
        <v>215</v>
      </c>
      <c r="F23" s="3"/>
      <c r="G23" s="3"/>
      <c r="H23" s="3"/>
      <c r="I23" s="3"/>
      <c r="J23" s="3"/>
      <c r="K23" s="3"/>
      <c r="L23" s="3"/>
      <c r="M23" s="3"/>
      <c r="N23" s="3"/>
      <c r="O23" s="3"/>
      <c r="P23" s="3"/>
      <c r="Q23" s="3"/>
      <c r="R23" s="3"/>
      <c r="S23" s="3"/>
      <c r="T23" s="3"/>
      <c r="U23" s="3"/>
      <c r="V23" s="3"/>
      <c r="W23" s="3"/>
      <c r="X23" s="3"/>
      <c r="Y23" s="3"/>
      <c r="Z23" s="3"/>
    </row>
    <row r="24">
      <c r="A24" s="3"/>
      <c r="C24" s="169" t="s">
        <v>216</v>
      </c>
      <c r="D24" s="172">
        <v>1.5</v>
      </c>
      <c r="E24" s="168" t="s">
        <v>217</v>
      </c>
      <c r="F24" s="3"/>
      <c r="G24" s="3"/>
      <c r="H24" s="3"/>
      <c r="I24" s="3"/>
      <c r="J24" s="3"/>
      <c r="K24" s="3"/>
      <c r="L24" s="3"/>
      <c r="M24" s="3"/>
      <c r="N24" s="3"/>
      <c r="O24" s="3"/>
      <c r="P24" s="3"/>
      <c r="Q24" s="3"/>
      <c r="R24" s="3"/>
      <c r="S24" s="3"/>
      <c r="T24" s="3"/>
      <c r="U24" s="3"/>
      <c r="V24" s="3"/>
      <c r="W24" s="3"/>
      <c r="X24" s="3"/>
      <c r="Y24" s="3"/>
      <c r="Z24" s="3"/>
    </row>
    <row r="25">
      <c r="A25" s="3"/>
      <c r="B25" s="3" t="s">
        <v>218</v>
      </c>
      <c r="C25" s="3"/>
      <c r="D25" s="3"/>
      <c r="E25" s="3"/>
      <c r="F25" s="3"/>
      <c r="G25" s="3"/>
      <c r="H25" s="3"/>
      <c r="I25" s="3"/>
      <c r="J25" s="3"/>
      <c r="K25" s="3"/>
      <c r="L25" s="3"/>
      <c r="M25" s="3"/>
      <c r="N25" s="3"/>
      <c r="O25" s="3"/>
      <c r="P25" s="3"/>
      <c r="Q25" s="3"/>
      <c r="R25" s="3"/>
      <c r="S25" s="3"/>
      <c r="T25" s="3"/>
      <c r="U25" s="3"/>
      <c r="V25" s="3"/>
      <c r="W25" s="3"/>
      <c r="X25" s="3"/>
      <c r="Y25" s="3"/>
      <c r="Z25" s="3"/>
    </row>
    <row r="26">
      <c r="A26" s="3" t="s">
        <v>221</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222</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69" t="s">
        <v>223</v>
      </c>
      <c r="F28" s="173">
        <f>Calculation!T16</f>
        <v>44254.99509</v>
      </c>
      <c r="G28" s="169" t="s">
        <v>224</v>
      </c>
      <c r="H28" s="3"/>
      <c r="I28" s="3"/>
      <c r="J28" s="3"/>
      <c r="K28" s="3"/>
      <c r="L28" s="3"/>
      <c r="M28" s="3"/>
      <c r="N28" s="3"/>
      <c r="O28" s="3"/>
      <c r="P28" s="3"/>
      <c r="Q28" s="3"/>
      <c r="R28" s="3"/>
      <c r="S28" s="3"/>
      <c r="T28" s="3"/>
      <c r="U28" s="3"/>
      <c r="V28" s="3"/>
      <c r="W28" s="3"/>
      <c r="X28" s="3"/>
      <c r="Y28" s="3"/>
      <c r="Z28" s="3"/>
    </row>
    <row r="29">
      <c r="A29" s="3"/>
      <c r="B29" s="169" t="s">
        <v>225</v>
      </c>
      <c r="F29" s="173">
        <f>Calculation!U16</f>
        <v>37471.51801</v>
      </c>
      <c r="G29" s="169" t="s">
        <v>226</v>
      </c>
      <c r="H29" s="3"/>
      <c r="I29" s="3"/>
      <c r="J29" s="3"/>
      <c r="K29" s="3"/>
      <c r="L29" s="3"/>
      <c r="M29" s="3"/>
      <c r="N29" s="3"/>
      <c r="O29" s="3"/>
      <c r="P29" s="3"/>
      <c r="Q29" s="3"/>
      <c r="R29" s="3"/>
      <c r="S29" s="3"/>
      <c r="T29" s="3"/>
      <c r="U29" s="3"/>
      <c r="V29" s="3"/>
      <c r="W29" s="3"/>
      <c r="X29" s="3"/>
      <c r="Y29" s="3"/>
      <c r="Z29" s="3"/>
    </row>
    <row r="30">
      <c r="A30" s="3"/>
      <c r="B30" s="169" t="s">
        <v>227</v>
      </c>
      <c r="F30" s="173">
        <f>Calculation!V16</f>
        <v>60493.98958</v>
      </c>
      <c r="G30" s="169" t="s">
        <v>228</v>
      </c>
      <c r="H30" s="3"/>
      <c r="I30" s="3"/>
      <c r="J30" s="3"/>
      <c r="K30" s="3"/>
      <c r="L30" s="3"/>
      <c r="M30" s="3"/>
      <c r="N30" s="3"/>
      <c r="O30" s="3"/>
      <c r="P30" s="3"/>
      <c r="Q30" s="3"/>
      <c r="R30" s="3"/>
      <c r="S30" s="3"/>
      <c r="T30" s="3"/>
      <c r="U30" s="3"/>
      <c r="V30" s="3"/>
      <c r="W30" s="3"/>
      <c r="X30" s="3"/>
      <c r="Y30" s="3"/>
      <c r="Z30" s="3"/>
    </row>
    <row r="31">
      <c r="A31" s="3"/>
      <c r="B31" s="169" t="s">
        <v>229</v>
      </c>
      <c r="F31" s="173">
        <f>Calculation!W16</f>
        <v>0</v>
      </c>
      <c r="G31" s="169" t="s">
        <v>230</v>
      </c>
      <c r="H31" s="3"/>
      <c r="I31" s="3"/>
      <c r="J31" s="3"/>
      <c r="K31" s="3"/>
      <c r="L31" s="3"/>
      <c r="M31" s="3"/>
      <c r="N31" s="3"/>
      <c r="O31" s="3"/>
      <c r="P31" s="3"/>
      <c r="Q31" s="3"/>
      <c r="R31" s="3"/>
      <c r="S31" s="3"/>
      <c r="T31" s="3"/>
      <c r="U31" s="3"/>
      <c r="V31" s="3"/>
      <c r="W31" s="3"/>
      <c r="X31" s="3"/>
      <c r="Y31" s="3"/>
      <c r="Z31" s="3"/>
    </row>
    <row r="32">
      <c r="A32" s="3"/>
      <c r="B32" s="169" t="s">
        <v>231</v>
      </c>
      <c r="F32" s="173">
        <f>Calculation!X16</f>
        <v>4252.495411</v>
      </c>
      <c r="G32" s="169" t="s">
        <v>232</v>
      </c>
      <c r="H32" s="3"/>
      <c r="I32" s="3"/>
      <c r="J32" s="3"/>
      <c r="K32" s="3"/>
      <c r="L32" s="3"/>
      <c r="M32" s="3"/>
      <c r="N32" s="3"/>
      <c r="O32" s="3"/>
      <c r="P32" s="3"/>
      <c r="Q32" s="3"/>
      <c r="R32" s="3"/>
      <c r="S32" s="3"/>
      <c r="T32" s="3"/>
      <c r="U32" s="3"/>
      <c r="V32" s="3"/>
      <c r="W32" s="3"/>
      <c r="X32" s="3"/>
      <c r="Y32" s="3"/>
      <c r="Z32" s="3"/>
    </row>
    <row r="33">
      <c r="A33" s="3"/>
      <c r="B33" s="169" t="s">
        <v>233</v>
      </c>
      <c r="F33" s="173">
        <f>Calculation!Y16</f>
        <v>0</v>
      </c>
      <c r="G33" s="169" t="s">
        <v>234</v>
      </c>
      <c r="H33" s="3"/>
      <c r="I33" s="3"/>
      <c r="J33" s="3"/>
      <c r="K33" s="3"/>
      <c r="L33" s="3"/>
      <c r="M33" s="3"/>
      <c r="N33" s="3"/>
      <c r="O33" s="3"/>
      <c r="P33" s="3"/>
      <c r="Q33" s="3"/>
      <c r="R33" s="3"/>
      <c r="S33" s="3"/>
      <c r="T33" s="3"/>
      <c r="U33" s="3"/>
      <c r="V33" s="3"/>
      <c r="W33" s="3"/>
      <c r="X33" s="3"/>
      <c r="Y33" s="3"/>
      <c r="Z33" s="3"/>
    </row>
    <row r="34">
      <c r="A34" s="3"/>
      <c r="B34" s="169" t="s">
        <v>235</v>
      </c>
      <c r="F34" s="173">
        <f>Calculation!C16</f>
        <v>3530</v>
      </c>
      <c r="G34" s="169" t="s">
        <v>236</v>
      </c>
      <c r="H34" s="3"/>
      <c r="I34" s="3"/>
      <c r="J34" s="3"/>
      <c r="K34" s="3"/>
      <c r="L34" s="3"/>
      <c r="M34" s="3"/>
      <c r="N34" s="3"/>
      <c r="O34" s="3"/>
      <c r="P34" s="3"/>
      <c r="Q34" s="3"/>
      <c r="R34" s="3"/>
      <c r="S34" s="3"/>
      <c r="T34" s="3"/>
      <c r="U34" s="3"/>
      <c r="V34" s="3"/>
      <c r="W34" s="3"/>
      <c r="X34" s="3"/>
      <c r="Y34" s="3"/>
      <c r="Z34" s="3"/>
    </row>
    <row r="35">
      <c r="A35" s="3"/>
      <c r="B35" s="3" t="s">
        <v>237</v>
      </c>
      <c r="H35" s="3"/>
      <c r="I35" s="3"/>
      <c r="J35" s="3"/>
      <c r="K35" s="3"/>
      <c r="L35" s="3"/>
      <c r="M35" s="3"/>
      <c r="N35" s="3"/>
      <c r="O35" s="3"/>
      <c r="P35" s="3"/>
      <c r="Q35" s="3"/>
      <c r="R35" s="3"/>
      <c r="S35" s="3"/>
      <c r="T35" s="3"/>
      <c r="U35" s="3"/>
      <c r="V35" s="3"/>
      <c r="W35" s="3"/>
      <c r="X35" s="3"/>
      <c r="Y35" s="3"/>
      <c r="Z35" s="3"/>
    </row>
    <row r="36">
      <c r="A36" s="3"/>
      <c r="B36" s="3"/>
      <c r="C36" s="169" t="s">
        <v>212</v>
      </c>
      <c r="D36" s="170">
        <f>Calculation!D16</f>
        <v>5.964985836</v>
      </c>
      <c r="E36" s="169" t="s">
        <v>213</v>
      </c>
      <c r="F36" s="3"/>
      <c r="G36" s="3"/>
      <c r="H36" s="3"/>
      <c r="I36" s="3"/>
      <c r="J36" s="3"/>
      <c r="K36" s="3"/>
      <c r="L36" s="3"/>
      <c r="M36" s="3"/>
      <c r="N36" s="3"/>
      <c r="O36" s="3"/>
      <c r="P36" s="3"/>
      <c r="Q36" s="3"/>
      <c r="R36" s="3"/>
      <c r="S36" s="3"/>
      <c r="T36" s="3"/>
      <c r="U36" s="3"/>
      <c r="V36" s="3"/>
      <c r="W36" s="3"/>
      <c r="X36" s="3"/>
      <c r="Y36" s="3"/>
      <c r="Z36" s="3"/>
    </row>
    <row r="37">
      <c r="A37" s="3"/>
      <c r="B37" s="3"/>
      <c r="C37" s="169" t="s">
        <v>214</v>
      </c>
      <c r="D37" s="170">
        <f>Calculation!E16</f>
        <v>0</v>
      </c>
      <c r="E37" s="169" t="s">
        <v>215</v>
      </c>
      <c r="F37" s="3"/>
      <c r="G37" s="3"/>
      <c r="H37" s="3"/>
      <c r="I37" s="3"/>
      <c r="J37" s="3"/>
      <c r="K37" s="3"/>
      <c r="L37" s="3"/>
      <c r="M37" s="3"/>
      <c r="N37" s="3"/>
      <c r="O37" s="3"/>
      <c r="P37" s="3"/>
      <c r="Q37" s="3"/>
      <c r="R37" s="3"/>
      <c r="S37" s="3"/>
      <c r="T37" s="3"/>
      <c r="U37" s="3"/>
      <c r="V37" s="3"/>
      <c r="W37" s="3"/>
      <c r="X37" s="3"/>
      <c r="Y37" s="3"/>
      <c r="Z37" s="3"/>
    </row>
    <row r="38">
      <c r="A38" s="3"/>
      <c r="B38" s="3"/>
      <c r="C38" s="169" t="s">
        <v>216</v>
      </c>
      <c r="D38" s="170">
        <f>Calculation!F16</f>
        <v>0.5082152975</v>
      </c>
      <c r="E38" s="169" t="s">
        <v>217</v>
      </c>
      <c r="F38" s="3"/>
      <c r="G38" s="3"/>
      <c r="H38" s="3"/>
      <c r="I38" s="3"/>
      <c r="J38" s="3"/>
      <c r="K38" s="3"/>
      <c r="L38" s="3"/>
      <c r="M38" s="3"/>
      <c r="N38" s="3"/>
      <c r="O38" s="3"/>
      <c r="P38" s="3"/>
      <c r="Q38" s="3"/>
      <c r="R38" s="3"/>
      <c r="S38" s="3"/>
      <c r="T38" s="3"/>
      <c r="U38" s="3"/>
      <c r="V38" s="3"/>
      <c r="W38" s="3"/>
      <c r="X38" s="3"/>
      <c r="Y38" s="3"/>
      <c r="Z38" s="3"/>
    </row>
    <row r="39">
      <c r="A39" s="3"/>
      <c r="B39" s="3" t="s">
        <v>218</v>
      </c>
      <c r="C39" s="3"/>
      <c r="D39" s="3"/>
      <c r="E39" s="3"/>
      <c r="F39" s="3"/>
      <c r="G39" s="3"/>
      <c r="H39" s="3"/>
      <c r="I39" s="3"/>
      <c r="J39" s="3"/>
      <c r="K39" s="3"/>
      <c r="L39" s="3"/>
      <c r="M39" s="3"/>
      <c r="N39" s="3"/>
      <c r="O39" s="3"/>
      <c r="P39" s="3"/>
      <c r="Q39" s="3"/>
      <c r="R39" s="3"/>
      <c r="S39" s="3"/>
      <c r="T39" s="3"/>
      <c r="U39" s="3"/>
      <c r="V39" s="3"/>
      <c r="W39" s="3"/>
      <c r="X39" s="3"/>
      <c r="Y39" s="3"/>
      <c r="Z39" s="3"/>
    </row>
    <row r="40">
      <c r="A40" s="3" t="s">
        <v>238</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69" t="s">
        <v>239</v>
      </c>
      <c r="B43" s="3"/>
      <c r="C43" s="3"/>
      <c r="D43" s="3"/>
      <c r="E43" s="3"/>
      <c r="F43" s="3"/>
      <c r="G43" s="3"/>
      <c r="H43" s="3"/>
      <c r="I43" s="3"/>
      <c r="J43" s="3"/>
      <c r="K43" s="3"/>
      <c r="L43" s="3"/>
      <c r="M43" s="3"/>
      <c r="N43" s="3"/>
      <c r="O43" s="3"/>
      <c r="P43" s="3"/>
      <c r="Q43" s="3"/>
      <c r="R43" s="3"/>
      <c r="S43" s="3"/>
      <c r="T43" s="3"/>
      <c r="U43" s="3"/>
      <c r="V43" s="3"/>
      <c r="W43" s="3"/>
      <c r="X43" s="3"/>
      <c r="Y43" s="3"/>
      <c r="Z43" s="3"/>
    </row>
    <row r="44">
      <c r="A44" s="169" t="s">
        <v>240</v>
      </c>
      <c r="B44" s="3"/>
      <c r="C44" s="3"/>
      <c r="D44" s="3"/>
      <c r="E44" s="3"/>
      <c r="F44" s="3"/>
      <c r="G44" s="3"/>
      <c r="H44" s="3"/>
      <c r="I44" s="3"/>
      <c r="J44" s="3"/>
      <c r="K44" s="3"/>
      <c r="L44" s="3"/>
      <c r="M44" s="3"/>
      <c r="N44" s="3"/>
      <c r="O44" s="3"/>
      <c r="P44" s="3"/>
      <c r="Q44" s="3"/>
      <c r="R44" s="3"/>
      <c r="S44" s="3"/>
      <c r="T44" s="3"/>
      <c r="U44" s="3"/>
      <c r="V44" s="3"/>
      <c r="W44" s="3"/>
      <c r="X44" s="3"/>
      <c r="Y44" s="3"/>
      <c r="Z44" s="3"/>
    </row>
    <row r="45">
      <c r="A45" s="169" t="s">
        <v>241</v>
      </c>
      <c r="B45" s="3"/>
      <c r="C45" s="3"/>
      <c r="D45" s="3"/>
      <c r="E45" s="3"/>
      <c r="F45" s="3"/>
      <c r="G45" s="3"/>
      <c r="H45" s="3"/>
      <c r="I45" s="3"/>
      <c r="J45" s="3"/>
      <c r="K45" s="3"/>
      <c r="L45" s="3"/>
      <c r="M45" s="3"/>
      <c r="N45" s="3"/>
      <c r="O45" s="3"/>
      <c r="P45" s="3"/>
      <c r="Q45" s="3"/>
      <c r="R45" s="3"/>
      <c r="S45" s="3"/>
      <c r="T45" s="3"/>
      <c r="U45" s="3"/>
      <c r="V45" s="3"/>
      <c r="W45" s="3"/>
      <c r="X45" s="3"/>
      <c r="Y45" s="3"/>
      <c r="Z45" s="3"/>
    </row>
    <row r="46">
      <c r="A46" s="169" t="s">
        <v>242</v>
      </c>
      <c r="B46" s="3"/>
      <c r="C46" s="3"/>
      <c r="D46" s="3"/>
      <c r="E46" s="3"/>
      <c r="F46" s="3"/>
      <c r="G46" s="3"/>
      <c r="H46" s="3"/>
      <c r="I46" s="3"/>
      <c r="J46" s="3"/>
      <c r="K46" s="3"/>
      <c r="L46" s="3"/>
      <c r="M46" s="3"/>
      <c r="N46" s="3"/>
      <c r="O46" s="3"/>
      <c r="P46" s="3"/>
      <c r="Q46" s="3"/>
      <c r="R46" s="3"/>
      <c r="S46" s="3"/>
      <c r="T46" s="3"/>
      <c r="U46" s="3"/>
      <c r="V46" s="3"/>
      <c r="W46" s="3"/>
      <c r="X46" s="3"/>
      <c r="Y46" s="3"/>
      <c r="Z46" s="3"/>
    </row>
    <row r="47">
      <c r="A47" s="169" t="s">
        <v>243</v>
      </c>
      <c r="B47" s="3"/>
      <c r="C47" s="3"/>
      <c r="D47" s="3"/>
      <c r="E47" s="3"/>
      <c r="F47" s="3"/>
      <c r="G47" s="3"/>
      <c r="H47" s="3"/>
      <c r="I47" s="3"/>
      <c r="J47" s="3"/>
      <c r="K47" s="3"/>
      <c r="L47" s="3"/>
      <c r="M47" s="3"/>
      <c r="N47" s="3"/>
      <c r="O47" s="3"/>
      <c r="P47" s="3"/>
      <c r="Q47" s="3"/>
      <c r="R47" s="3"/>
      <c r="S47" s="3"/>
      <c r="T47" s="3"/>
      <c r="U47" s="3"/>
      <c r="V47" s="3"/>
      <c r="W47" s="3"/>
      <c r="X47" s="3"/>
      <c r="Y47" s="3"/>
      <c r="Z47" s="3"/>
    </row>
    <row r="48">
      <c r="A48" s="169" t="s">
        <v>244</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74" t="s">
        <v>245</v>
      </c>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c r="A2" s="174" t="s">
        <v>246</v>
      </c>
      <c r="B2" s="175"/>
      <c r="C2" s="175"/>
      <c r="D2" s="175"/>
      <c r="E2" s="175"/>
      <c r="F2" s="175"/>
      <c r="G2" s="175"/>
      <c r="H2" s="175"/>
      <c r="I2" s="175"/>
      <c r="J2" s="175"/>
      <c r="K2" s="175"/>
      <c r="L2" s="175"/>
      <c r="M2" s="175"/>
      <c r="N2" s="175"/>
      <c r="O2" s="175"/>
      <c r="P2" s="175"/>
      <c r="Q2" s="175"/>
      <c r="R2" s="175"/>
      <c r="S2" s="175"/>
      <c r="T2" s="175"/>
      <c r="U2" s="175"/>
      <c r="V2" s="175"/>
      <c r="W2" s="175"/>
      <c r="X2" s="175"/>
      <c r="Y2" s="175"/>
      <c r="Z2" s="175"/>
    </row>
    <row r="3" collapsed="1">
      <c r="A3" s="174" t="s">
        <v>247</v>
      </c>
      <c r="B3" s="175"/>
      <c r="C3" s="175"/>
      <c r="D3" s="175"/>
      <c r="E3" s="175"/>
      <c r="F3" s="175"/>
      <c r="G3" s="175"/>
      <c r="H3" s="175"/>
      <c r="I3" s="175"/>
      <c r="J3" s="175"/>
      <c r="K3" s="175"/>
      <c r="L3" s="175"/>
      <c r="M3" s="175"/>
      <c r="N3" s="175"/>
      <c r="O3" s="175"/>
      <c r="P3" s="175"/>
      <c r="Q3" s="175"/>
      <c r="R3" s="175"/>
      <c r="S3" s="175"/>
      <c r="T3" s="175"/>
      <c r="U3" s="175"/>
      <c r="V3" s="175"/>
      <c r="W3" s="175"/>
      <c r="X3" s="175"/>
      <c r="Y3" s="175"/>
      <c r="Z3" s="175"/>
    </row>
    <row r="4" hidden="1" outlineLevel="1">
      <c r="A4" s="175"/>
      <c r="B4" s="174" t="s">
        <v>248</v>
      </c>
      <c r="C4" s="175"/>
      <c r="D4" s="175"/>
      <c r="E4" s="175"/>
      <c r="F4" s="175"/>
      <c r="G4" s="175"/>
      <c r="H4" s="175"/>
      <c r="I4" s="175"/>
      <c r="J4" s="175"/>
      <c r="K4" s="175"/>
      <c r="L4" s="175"/>
      <c r="M4" s="175"/>
      <c r="N4" s="175"/>
      <c r="O4" s="175"/>
      <c r="P4" s="175"/>
      <c r="Q4" s="175"/>
      <c r="R4" s="175"/>
      <c r="S4" s="175"/>
      <c r="T4" s="175"/>
      <c r="U4" s="175"/>
      <c r="V4" s="175"/>
      <c r="W4" s="175"/>
      <c r="X4" s="175"/>
      <c r="Y4" s="175"/>
      <c r="Z4" s="175"/>
    </row>
    <row r="5" hidden="1" outlineLevel="1">
      <c r="A5" s="175"/>
      <c r="B5" s="174" t="s">
        <v>249</v>
      </c>
      <c r="C5" s="175"/>
      <c r="D5" s="175"/>
      <c r="E5" s="175"/>
      <c r="F5" s="175"/>
      <c r="G5" s="175"/>
      <c r="H5" s="175"/>
      <c r="I5" s="175"/>
      <c r="J5" s="175"/>
      <c r="K5" s="175"/>
      <c r="L5" s="175"/>
      <c r="M5" s="175"/>
      <c r="N5" s="175"/>
      <c r="O5" s="175"/>
      <c r="P5" s="175"/>
      <c r="Q5" s="175"/>
      <c r="R5" s="175"/>
      <c r="S5" s="175"/>
      <c r="T5" s="175"/>
      <c r="U5" s="175"/>
      <c r="V5" s="175"/>
      <c r="W5" s="175"/>
      <c r="X5" s="175"/>
      <c r="Y5" s="175"/>
      <c r="Z5" s="175"/>
    </row>
    <row r="6" hidden="1" outlineLevel="1">
      <c r="A6" s="175"/>
      <c r="B6" s="175"/>
      <c r="C6" s="174" t="s">
        <v>250</v>
      </c>
      <c r="D6" s="175"/>
      <c r="E6" s="175"/>
      <c r="F6" s="175"/>
      <c r="G6" s="175"/>
      <c r="H6" s="175"/>
      <c r="I6" s="175"/>
      <c r="J6" s="175"/>
      <c r="K6" s="175"/>
      <c r="L6" s="175"/>
      <c r="M6" s="175"/>
      <c r="N6" s="175"/>
      <c r="O6" s="175"/>
      <c r="P6" s="175"/>
      <c r="Q6" s="175"/>
      <c r="R6" s="175"/>
      <c r="S6" s="175"/>
      <c r="T6" s="175"/>
      <c r="U6" s="175"/>
      <c r="V6" s="175"/>
      <c r="W6" s="175"/>
      <c r="X6" s="175"/>
      <c r="Y6" s="175"/>
      <c r="Z6" s="175"/>
    </row>
    <row r="7" hidden="1" outlineLevel="1">
      <c r="A7" s="175"/>
      <c r="B7" s="175"/>
      <c r="C7" s="174" t="s">
        <v>251</v>
      </c>
      <c r="D7" s="175"/>
      <c r="E7" s="175"/>
      <c r="F7" s="175"/>
      <c r="G7" s="175"/>
      <c r="H7" s="175"/>
      <c r="I7" s="175"/>
      <c r="J7" s="175"/>
      <c r="K7" s="175"/>
      <c r="L7" s="175"/>
      <c r="M7" s="175"/>
      <c r="N7" s="175"/>
      <c r="O7" s="175"/>
      <c r="P7" s="175"/>
      <c r="Q7" s="175"/>
      <c r="R7" s="175"/>
      <c r="S7" s="175"/>
      <c r="T7" s="175"/>
      <c r="U7" s="175"/>
      <c r="V7" s="175"/>
      <c r="W7" s="175"/>
      <c r="X7" s="175"/>
      <c r="Y7" s="175"/>
      <c r="Z7" s="175"/>
    </row>
    <row r="8" hidden="1" outlineLevel="1">
      <c r="A8" s="175"/>
      <c r="B8" s="175"/>
      <c r="C8" s="175"/>
      <c r="D8" s="176">
        <v>0.0</v>
      </c>
      <c r="E8" s="176">
        <v>1.2</v>
      </c>
      <c r="F8" s="175"/>
      <c r="G8" s="175"/>
      <c r="H8" s="175"/>
      <c r="I8" s="175"/>
      <c r="J8" s="175"/>
      <c r="K8" s="175"/>
      <c r="L8" s="175"/>
      <c r="M8" s="175"/>
      <c r="N8" s="175"/>
      <c r="O8" s="175"/>
      <c r="P8" s="175"/>
      <c r="Q8" s="175"/>
      <c r="R8" s="175"/>
      <c r="S8" s="175"/>
      <c r="T8" s="175"/>
      <c r="U8" s="175"/>
      <c r="V8" s="175"/>
      <c r="W8" s="175"/>
      <c r="X8" s="175"/>
      <c r="Y8" s="175"/>
      <c r="Z8" s="175"/>
    </row>
    <row r="9" hidden="1" outlineLevel="1">
      <c r="A9" s="175"/>
      <c r="B9" s="175"/>
      <c r="C9" s="175"/>
      <c r="D9" s="176">
        <v>0.5</v>
      </c>
      <c r="E9" s="176">
        <v>1.1</v>
      </c>
      <c r="F9" s="175"/>
      <c r="G9" s="175"/>
      <c r="H9" s="175"/>
      <c r="I9" s="175"/>
      <c r="J9" s="175"/>
      <c r="K9" s="175"/>
      <c r="L9" s="175"/>
      <c r="M9" s="175"/>
      <c r="N9" s="175"/>
      <c r="O9" s="175"/>
      <c r="P9" s="175"/>
      <c r="Q9" s="175"/>
      <c r="R9" s="175"/>
      <c r="S9" s="175"/>
      <c r="T9" s="175"/>
      <c r="U9" s="175"/>
      <c r="V9" s="175"/>
      <c r="W9" s="175"/>
      <c r="X9" s="175"/>
      <c r="Y9" s="175"/>
      <c r="Z9" s="175"/>
    </row>
    <row r="10" hidden="1" outlineLevel="1">
      <c r="A10" s="175"/>
      <c r="B10" s="175"/>
      <c r="C10" s="175"/>
      <c r="D10" s="176">
        <v>0.75</v>
      </c>
      <c r="E10" s="176">
        <v>1.05</v>
      </c>
      <c r="F10" s="175"/>
      <c r="G10" s="175"/>
      <c r="H10" s="175"/>
      <c r="I10" s="175"/>
      <c r="J10" s="175"/>
      <c r="K10" s="175"/>
      <c r="L10" s="175"/>
      <c r="M10" s="175"/>
      <c r="N10" s="175"/>
      <c r="O10" s="175"/>
      <c r="P10" s="175"/>
      <c r="Q10" s="175"/>
      <c r="R10" s="175"/>
      <c r="S10" s="175"/>
      <c r="T10" s="175"/>
      <c r="U10" s="175"/>
      <c r="V10" s="175"/>
      <c r="W10" s="175"/>
      <c r="X10" s="175"/>
      <c r="Y10" s="175"/>
      <c r="Z10" s="175"/>
    </row>
    <row r="11" hidden="1" outlineLevel="1">
      <c r="A11" s="175"/>
      <c r="B11" s="175"/>
      <c r="C11" s="175"/>
      <c r="D11" s="176">
        <v>1.0</v>
      </c>
      <c r="E11" s="176">
        <v>1.0</v>
      </c>
      <c r="F11" s="175"/>
      <c r="G11" s="175"/>
      <c r="H11" s="175"/>
      <c r="I11" s="175"/>
      <c r="J11" s="175"/>
      <c r="K11" s="175"/>
      <c r="L11" s="175"/>
      <c r="M11" s="175"/>
      <c r="N11" s="175"/>
      <c r="O11" s="175"/>
      <c r="P11" s="175"/>
      <c r="Q11" s="175"/>
      <c r="R11" s="175"/>
      <c r="S11" s="175"/>
      <c r="T11" s="175"/>
      <c r="U11" s="175"/>
      <c r="V11" s="175"/>
      <c r="W11" s="175"/>
      <c r="X11" s="175"/>
      <c r="Y11" s="175"/>
      <c r="Z11" s="175"/>
    </row>
    <row r="12" hidden="1" outlineLevel="1">
      <c r="A12" s="175"/>
      <c r="B12" s="175"/>
      <c r="C12" s="174" t="s">
        <v>252</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hidden="1" outlineLevel="1">
      <c r="A13" s="175"/>
      <c r="B13" s="174" t="s">
        <v>253</v>
      </c>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hidden="1" outlineLevel="1">
      <c r="A14" s="174" t="s">
        <v>254</v>
      </c>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c r="A15" s="177" t="s">
        <v>255</v>
      </c>
      <c r="B15" s="178"/>
      <c r="C15" s="178"/>
      <c r="D15" s="178"/>
      <c r="E15" s="178"/>
      <c r="F15" s="178"/>
      <c r="G15" s="178"/>
      <c r="H15" s="178"/>
      <c r="I15" s="178"/>
      <c r="J15" s="178"/>
      <c r="K15" s="178"/>
      <c r="L15" s="178"/>
      <c r="M15" s="178"/>
      <c r="N15" s="178"/>
      <c r="O15" s="178"/>
      <c r="P15" s="178"/>
      <c r="Q15" s="178"/>
      <c r="R15" s="178"/>
      <c r="S15" s="178"/>
      <c r="T15" s="178"/>
      <c r="U15" s="178"/>
      <c r="V15" s="178"/>
      <c r="W15" s="178"/>
      <c r="X15" s="178"/>
      <c r="Y15" s="178"/>
      <c r="Z15" s="178"/>
    </row>
    <row r="16" outlineLevel="1" collapsed="1">
      <c r="A16" s="175"/>
      <c r="B16" s="174" t="s">
        <v>256</v>
      </c>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hidden="1" outlineLevel="2">
      <c r="A17" s="175"/>
      <c r="B17" s="175"/>
      <c r="C17" s="174" t="s">
        <v>257</v>
      </c>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hidden="1" outlineLevel="2">
      <c r="A18" s="175"/>
      <c r="B18" s="175"/>
      <c r="C18" s="174" t="s">
        <v>258</v>
      </c>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hidden="1" outlineLevel="2">
      <c r="A19" s="175"/>
      <c r="B19" s="175"/>
      <c r="C19" s="175"/>
      <c r="D19" s="174" t="s">
        <v>259</v>
      </c>
      <c r="E19" s="175"/>
      <c r="F19" s="175"/>
      <c r="G19" s="175"/>
      <c r="H19" s="175"/>
      <c r="I19" s="175"/>
      <c r="J19" s="175"/>
      <c r="K19" s="175"/>
      <c r="L19" s="175"/>
      <c r="M19" s="175"/>
      <c r="N19" s="175"/>
      <c r="O19" s="175"/>
      <c r="P19" s="175"/>
      <c r="Q19" s="175"/>
      <c r="R19" s="175"/>
      <c r="S19" s="175"/>
      <c r="T19" s="175"/>
      <c r="U19" s="175"/>
      <c r="V19" s="175"/>
      <c r="W19" s="175"/>
      <c r="X19" s="175"/>
      <c r="Y19" s="175"/>
      <c r="Z19" s="175"/>
    </row>
    <row r="20" hidden="1" outlineLevel="2">
      <c r="A20" s="175"/>
      <c r="B20" s="175"/>
      <c r="C20" s="175"/>
      <c r="D20" s="174" t="s">
        <v>260</v>
      </c>
      <c r="E20" s="175"/>
      <c r="F20" s="175"/>
      <c r="G20" s="175"/>
      <c r="H20" s="175"/>
      <c r="I20" s="175"/>
      <c r="J20" s="175"/>
      <c r="K20" s="175"/>
      <c r="L20" s="175"/>
      <c r="M20" s="175"/>
      <c r="N20" s="175"/>
      <c r="O20" s="175"/>
      <c r="P20" s="175"/>
      <c r="Q20" s="175"/>
      <c r="R20" s="175"/>
      <c r="S20" s="175"/>
      <c r="T20" s="175"/>
      <c r="U20" s="175"/>
      <c r="V20" s="175"/>
      <c r="W20" s="175"/>
      <c r="X20" s="175"/>
      <c r="Y20" s="175"/>
      <c r="Z20" s="175"/>
    </row>
    <row r="21" hidden="1" outlineLevel="2">
      <c r="A21" s="175"/>
      <c r="B21" s="175"/>
      <c r="C21" s="175"/>
      <c r="D21" s="174" t="s">
        <v>261</v>
      </c>
      <c r="E21" s="179">
        <f>Calculation!L34</f>
        <v>0.04268870941</v>
      </c>
      <c r="F21" s="174" t="s">
        <v>262</v>
      </c>
      <c r="G21" s="175"/>
      <c r="H21" s="175"/>
      <c r="I21" s="175"/>
      <c r="J21" s="175"/>
      <c r="K21" s="175"/>
      <c r="L21" s="175"/>
      <c r="M21" s="175"/>
      <c r="N21" s="175"/>
      <c r="O21" s="175"/>
      <c r="P21" s="175"/>
      <c r="Q21" s="175"/>
      <c r="R21" s="175"/>
      <c r="S21" s="175"/>
      <c r="T21" s="175"/>
      <c r="U21" s="175"/>
      <c r="V21" s="175"/>
      <c r="W21" s="175"/>
      <c r="X21" s="175"/>
      <c r="Y21" s="175"/>
      <c r="Z21" s="175"/>
    </row>
    <row r="22" hidden="1" outlineLevel="2">
      <c r="A22" s="175"/>
      <c r="B22" s="175"/>
      <c r="C22" s="174" t="s">
        <v>263</v>
      </c>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hidden="1" outlineLevel="2">
      <c r="A23" s="175"/>
      <c r="B23" s="174" t="s">
        <v>254</v>
      </c>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outlineLevel="1" collapsed="1">
      <c r="A24" s="175"/>
      <c r="B24" s="174" t="s">
        <v>264</v>
      </c>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hidden="1" outlineLevel="2">
      <c r="A25" s="175"/>
      <c r="B25" s="175"/>
      <c r="C25" s="174" t="s">
        <v>265</v>
      </c>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hidden="1" outlineLevel="2">
      <c r="A26" s="175"/>
      <c r="B26" s="175"/>
      <c r="C26" s="174" t="s">
        <v>258</v>
      </c>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hidden="1" outlineLevel="2">
      <c r="A27" s="175"/>
      <c r="B27" s="175"/>
      <c r="C27" s="175"/>
      <c r="D27" s="174" t="s">
        <v>259</v>
      </c>
      <c r="E27" s="175"/>
      <c r="F27" s="175"/>
      <c r="G27" s="175"/>
      <c r="H27" s="175"/>
      <c r="I27" s="175"/>
      <c r="J27" s="175"/>
      <c r="K27" s="175"/>
      <c r="L27" s="175"/>
      <c r="M27" s="175"/>
      <c r="N27" s="175"/>
      <c r="O27" s="175"/>
      <c r="P27" s="175"/>
      <c r="Q27" s="175"/>
      <c r="R27" s="175"/>
      <c r="S27" s="175"/>
      <c r="T27" s="175"/>
      <c r="U27" s="175"/>
      <c r="V27" s="175"/>
      <c r="W27" s="175"/>
      <c r="X27" s="175"/>
      <c r="Y27" s="175"/>
      <c r="Z27" s="175"/>
    </row>
    <row r="28" hidden="1" outlineLevel="2">
      <c r="A28" s="175"/>
      <c r="B28" s="175"/>
      <c r="C28" s="175"/>
      <c r="D28" s="174" t="s">
        <v>260</v>
      </c>
      <c r="E28" s="175"/>
      <c r="F28" s="175"/>
      <c r="G28" s="175"/>
      <c r="H28" s="175"/>
      <c r="I28" s="175"/>
      <c r="J28" s="175"/>
      <c r="K28" s="175"/>
      <c r="L28" s="175"/>
      <c r="M28" s="175"/>
      <c r="N28" s="175"/>
      <c r="O28" s="175"/>
      <c r="P28" s="175"/>
      <c r="Q28" s="175"/>
      <c r="R28" s="175"/>
      <c r="S28" s="175"/>
      <c r="T28" s="175"/>
      <c r="U28" s="175"/>
      <c r="V28" s="175"/>
      <c r="W28" s="175"/>
      <c r="X28" s="175"/>
      <c r="Y28" s="175"/>
      <c r="Z28" s="175"/>
    </row>
    <row r="29" hidden="1" outlineLevel="2">
      <c r="A29" s="175"/>
      <c r="B29" s="175"/>
      <c r="C29" s="175"/>
      <c r="D29" s="174" t="s">
        <v>249</v>
      </c>
      <c r="E29" s="175"/>
      <c r="F29" s="175"/>
      <c r="G29" s="175"/>
      <c r="H29" s="175"/>
      <c r="I29" s="175"/>
      <c r="J29" s="175"/>
      <c r="K29" s="175"/>
      <c r="L29" s="175"/>
      <c r="M29" s="175"/>
      <c r="N29" s="175"/>
      <c r="O29" s="175"/>
      <c r="P29" s="175"/>
      <c r="Q29" s="175"/>
      <c r="R29" s="175"/>
      <c r="S29" s="175"/>
      <c r="T29" s="175"/>
      <c r="U29" s="175"/>
      <c r="V29" s="175"/>
      <c r="W29" s="175"/>
      <c r="X29" s="175"/>
      <c r="Y29" s="175"/>
      <c r="Z29" s="175"/>
    </row>
    <row r="30" hidden="1" outlineLevel="2">
      <c r="A30" s="175"/>
      <c r="B30" s="175"/>
      <c r="C30" s="175"/>
      <c r="D30" s="175"/>
      <c r="E30" s="174" t="s">
        <v>266</v>
      </c>
      <c r="F30" s="175"/>
      <c r="G30" s="175"/>
      <c r="H30" s="175"/>
      <c r="I30" s="175"/>
      <c r="J30" s="175"/>
      <c r="K30" s="175"/>
      <c r="L30" s="175"/>
      <c r="M30" s="175"/>
      <c r="N30" s="175"/>
      <c r="O30" s="175"/>
      <c r="P30" s="175"/>
      <c r="Q30" s="175"/>
      <c r="R30" s="175"/>
      <c r="S30" s="175"/>
      <c r="T30" s="175"/>
      <c r="U30" s="175"/>
      <c r="V30" s="175"/>
      <c r="W30" s="175"/>
      <c r="X30" s="175"/>
      <c r="Y30" s="175"/>
      <c r="Z30" s="175"/>
    </row>
    <row r="31" hidden="1" outlineLevel="2">
      <c r="A31" s="175"/>
      <c r="B31" s="175"/>
      <c r="C31" s="175"/>
      <c r="D31" s="175"/>
      <c r="E31" s="174" t="s">
        <v>251</v>
      </c>
      <c r="F31" s="175"/>
      <c r="G31" s="175"/>
      <c r="H31" s="175"/>
      <c r="I31" s="175"/>
      <c r="J31" s="175"/>
      <c r="K31" s="175"/>
      <c r="L31" s="175"/>
      <c r="M31" s="175"/>
      <c r="N31" s="175"/>
      <c r="O31" s="175"/>
      <c r="P31" s="175"/>
      <c r="Q31" s="175"/>
      <c r="R31" s="175"/>
      <c r="S31" s="175"/>
      <c r="T31" s="175"/>
      <c r="U31" s="175"/>
      <c r="V31" s="175"/>
      <c r="W31" s="175"/>
      <c r="X31" s="175"/>
      <c r="Y31" s="175"/>
      <c r="Z31" s="175"/>
    </row>
    <row r="32" hidden="1" outlineLevel="2">
      <c r="A32" s="175"/>
      <c r="B32" s="175"/>
      <c r="C32" s="175"/>
      <c r="D32" s="175"/>
      <c r="E32" s="175"/>
      <c r="F32" s="176">
        <v>-0.09</v>
      </c>
      <c r="G32" s="179">
        <f t="shared" ref="G32:G42" si="1">0.0924 * POWER( (0.307 + G135), 2)</f>
        <v>0.00447216</v>
      </c>
      <c r="H32" s="175"/>
      <c r="I32" s="175"/>
      <c r="J32" s="175"/>
      <c r="K32" s="175"/>
      <c r="L32" s="175"/>
      <c r="M32" s="175"/>
      <c r="N32" s="175"/>
      <c r="O32" s="175"/>
      <c r="P32" s="175"/>
      <c r="Q32" s="175"/>
      <c r="R32" s="175"/>
      <c r="S32" s="175"/>
      <c r="T32" s="175"/>
      <c r="U32" s="175"/>
      <c r="V32" s="175"/>
      <c r="W32" s="175"/>
      <c r="X32" s="175"/>
      <c r="Y32" s="175"/>
      <c r="Z32" s="175"/>
    </row>
    <row r="33" hidden="1" outlineLevel="2">
      <c r="A33" s="175"/>
      <c r="B33" s="175"/>
      <c r="C33" s="175"/>
      <c r="D33" s="175"/>
      <c r="E33" s="175"/>
      <c r="F33" s="176">
        <v>0.0</v>
      </c>
      <c r="G33" s="179">
        <f t="shared" si="1"/>
        <v>0.005775</v>
      </c>
      <c r="H33" s="175"/>
      <c r="I33" s="175"/>
      <c r="J33" s="175"/>
      <c r="K33" s="175"/>
      <c r="L33" s="175"/>
      <c r="M33" s="175"/>
      <c r="N33" s="175"/>
      <c r="O33" s="175"/>
      <c r="P33" s="175"/>
      <c r="Q33" s="175"/>
      <c r="R33" s="175"/>
      <c r="S33" s="175"/>
      <c r="T33" s="175"/>
      <c r="U33" s="175"/>
      <c r="V33" s="175"/>
      <c r="W33" s="175"/>
      <c r="X33" s="175"/>
      <c r="Y33" s="175"/>
      <c r="Z33" s="175"/>
    </row>
    <row r="34" hidden="1" outlineLevel="2">
      <c r="A34" s="174"/>
      <c r="B34" s="174"/>
      <c r="C34" s="175"/>
      <c r="D34" s="175"/>
      <c r="E34" s="175"/>
      <c r="F34" s="176">
        <v>0.14</v>
      </c>
      <c r="G34" s="179">
        <f t="shared" si="1"/>
        <v>0.09613296</v>
      </c>
      <c r="H34" s="175"/>
      <c r="I34" s="175"/>
      <c r="J34" s="175"/>
      <c r="K34" s="175"/>
      <c r="L34" s="175"/>
      <c r="M34" s="175"/>
      <c r="N34" s="175"/>
      <c r="O34" s="175"/>
      <c r="P34" s="175"/>
      <c r="Q34" s="175"/>
      <c r="R34" s="175"/>
      <c r="S34" s="175"/>
      <c r="T34" s="175"/>
      <c r="U34" s="175"/>
      <c r="V34" s="175"/>
      <c r="W34" s="175"/>
      <c r="X34" s="175"/>
      <c r="Y34" s="175"/>
      <c r="Z34" s="175"/>
    </row>
    <row r="35" hidden="1" outlineLevel="2">
      <c r="A35" s="174"/>
      <c r="B35" s="174"/>
      <c r="C35" s="175"/>
      <c r="D35" s="175"/>
      <c r="E35" s="175"/>
      <c r="F35" s="176">
        <v>0.21</v>
      </c>
      <c r="G35" s="179">
        <f t="shared" si="1"/>
        <v>0.1448373696</v>
      </c>
      <c r="H35" s="175"/>
      <c r="I35" s="175"/>
      <c r="J35" s="175"/>
      <c r="K35" s="175"/>
      <c r="L35" s="175"/>
      <c r="M35" s="175"/>
      <c r="N35" s="175"/>
      <c r="O35" s="175"/>
      <c r="P35" s="175"/>
      <c r="Q35" s="175"/>
      <c r="R35" s="175"/>
      <c r="S35" s="175"/>
      <c r="T35" s="175"/>
      <c r="U35" s="175"/>
      <c r="V35" s="175"/>
      <c r="W35" s="175"/>
      <c r="X35" s="175"/>
      <c r="Y35" s="175"/>
      <c r="Z35" s="175"/>
    </row>
    <row r="36" hidden="1" outlineLevel="2">
      <c r="A36" s="174"/>
      <c r="B36" s="174"/>
      <c r="C36" s="175"/>
      <c r="D36" s="175"/>
      <c r="E36" s="175"/>
      <c r="F36" s="176">
        <v>0.24</v>
      </c>
      <c r="G36" s="179">
        <f t="shared" si="1"/>
        <v>0.1693983984</v>
      </c>
      <c r="H36" s="175"/>
      <c r="I36" s="175"/>
      <c r="J36" s="175"/>
      <c r="K36" s="175"/>
      <c r="L36" s="175"/>
      <c r="M36" s="175"/>
      <c r="N36" s="175"/>
      <c r="O36" s="175"/>
      <c r="P36" s="175"/>
      <c r="Q36" s="175"/>
      <c r="R36" s="175"/>
      <c r="S36" s="175"/>
      <c r="T36" s="175"/>
      <c r="U36" s="175"/>
      <c r="V36" s="175"/>
      <c r="W36" s="175"/>
      <c r="X36" s="175"/>
      <c r="Y36" s="175"/>
      <c r="Z36" s="175"/>
    </row>
    <row r="37" hidden="1" outlineLevel="2">
      <c r="A37" s="174"/>
      <c r="B37" s="174"/>
      <c r="C37" s="175"/>
      <c r="D37" s="175"/>
      <c r="E37" s="175"/>
      <c r="F37" s="176">
        <v>0.26</v>
      </c>
      <c r="G37" s="179">
        <f t="shared" si="1"/>
        <v>0.19160064</v>
      </c>
      <c r="H37" s="175"/>
      <c r="I37" s="175"/>
      <c r="J37" s="175"/>
      <c r="K37" s="175"/>
      <c r="L37" s="175"/>
      <c r="M37" s="175"/>
      <c r="N37" s="175"/>
      <c r="O37" s="175"/>
      <c r="P37" s="175"/>
      <c r="Q37" s="175"/>
      <c r="R37" s="175"/>
      <c r="S37" s="175"/>
      <c r="T37" s="175"/>
      <c r="U37" s="175"/>
      <c r="V37" s="175"/>
      <c r="W37" s="175"/>
      <c r="X37" s="175"/>
      <c r="Y37" s="175"/>
      <c r="Z37" s="175"/>
    </row>
    <row r="38" hidden="1" outlineLevel="2">
      <c r="A38" s="174"/>
      <c r="B38" s="174"/>
      <c r="C38" s="175"/>
      <c r="D38" s="175"/>
      <c r="E38" s="175"/>
      <c r="F38" s="176">
        <v>0.28</v>
      </c>
      <c r="G38" s="179">
        <f t="shared" si="1"/>
        <v>0.1985820144</v>
      </c>
      <c r="H38" s="175"/>
      <c r="I38" s="175"/>
      <c r="J38" s="175"/>
      <c r="K38" s="175"/>
      <c r="L38" s="175"/>
      <c r="M38" s="175"/>
      <c r="N38" s="175"/>
      <c r="O38" s="175"/>
      <c r="P38" s="175"/>
      <c r="Q38" s="175"/>
      <c r="R38" s="175"/>
      <c r="S38" s="175"/>
      <c r="T38" s="175"/>
      <c r="U38" s="175"/>
      <c r="V38" s="175"/>
      <c r="W38" s="175"/>
      <c r="X38" s="175"/>
      <c r="Y38" s="175"/>
      <c r="Z38" s="175"/>
    </row>
    <row r="39" hidden="1" outlineLevel="2">
      <c r="A39" s="174"/>
      <c r="B39" s="174"/>
      <c r="C39" s="175"/>
      <c r="D39" s="175"/>
      <c r="E39" s="175"/>
      <c r="F39" s="176">
        <v>0.3</v>
      </c>
      <c r="G39" s="179">
        <f t="shared" si="1"/>
        <v>0.1894776576</v>
      </c>
      <c r="H39" s="175"/>
      <c r="I39" s="175"/>
      <c r="J39" s="175"/>
      <c r="K39" s="175"/>
      <c r="L39" s="175"/>
      <c r="M39" s="175"/>
      <c r="N39" s="175"/>
      <c r="O39" s="175"/>
      <c r="P39" s="175"/>
      <c r="Q39" s="175"/>
      <c r="R39" s="175"/>
      <c r="S39" s="175"/>
      <c r="T39" s="175"/>
      <c r="U39" s="175"/>
      <c r="V39" s="175"/>
      <c r="W39" s="175"/>
      <c r="X39" s="175"/>
      <c r="Y39" s="175"/>
      <c r="Z39" s="175"/>
    </row>
    <row r="40" hidden="1" outlineLevel="2">
      <c r="A40" s="174"/>
      <c r="B40" s="174"/>
      <c r="C40" s="175"/>
      <c r="D40" s="175"/>
      <c r="E40" s="175"/>
      <c r="F40" s="176">
        <v>0.32</v>
      </c>
      <c r="G40" s="179">
        <f t="shared" si="1"/>
        <v>0.1762216764</v>
      </c>
      <c r="H40" s="175"/>
      <c r="I40" s="175"/>
      <c r="J40" s="175"/>
      <c r="K40" s="175"/>
      <c r="L40" s="175"/>
      <c r="M40" s="175"/>
      <c r="N40" s="175"/>
      <c r="O40" s="175"/>
      <c r="P40" s="175"/>
      <c r="Q40" s="175"/>
      <c r="R40" s="175"/>
      <c r="S40" s="175"/>
      <c r="T40" s="175"/>
      <c r="U40" s="175"/>
      <c r="V40" s="175"/>
      <c r="W40" s="175"/>
      <c r="X40" s="175"/>
      <c r="Y40" s="175"/>
      <c r="Z40" s="175"/>
    </row>
    <row r="41" hidden="1" outlineLevel="2">
      <c r="A41" s="174"/>
      <c r="B41" s="174"/>
      <c r="C41" s="175"/>
      <c r="D41" s="175"/>
      <c r="E41" s="175"/>
      <c r="F41" s="176">
        <v>0.34</v>
      </c>
      <c r="G41" s="179">
        <f t="shared" si="1"/>
        <v>0.1556758896</v>
      </c>
      <c r="H41" s="175"/>
      <c r="I41" s="175"/>
      <c r="J41" s="175"/>
      <c r="K41" s="175"/>
      <c r="L41" s="175"/>
      <c r="M41" s="175"/>
      <c r="N41" s="175"/>
      <c r="O41" s="175"/>
      <c r="P41" s="175"/>
      <c r="Q41" s="175"/>
      <c r="R41" s="175"/>
      <c r="S41" s="175"/>
      <c r="T41" s="175"/>
      <c r="U41" s="175"/>
      <c r="V41" s="175"/>
      <c r="W41" s="175"/>
      <c r="X41" s="175"/>
      <c r="Y41" s="175"/>
      <c r="Z41" s="175"/>
    </row>
    <row r="42" hidden="1" outlineLevel="2">
      <c r="A42" s="174"/>
      <c r="B42" s="174"/>
      <c r="C42" s="175"/>
      <c r="D42" s="175"/>
      <c r="E42" s="175"/>
      <c r="F42" s="176">
        <v>0.36</v>
      </c>
      <c r="G42" s="179">
        <f t="shared" si="1"/>
        <v>0.08693916</v>
      </c>
      <c r="H42" s="175"/>
      <c r="I42" s="175"/>
      <c r="J42" s="175"/>
      <c r="K42" s="175"/>
      <c r="L42" s="175"/>
      <c r="M42" s="175"/>
      <c r="N42" s="175"/>
      <c r="O42" s="175"/>
      <c r="P42" s="175"/>
      <c r="Q42" s="175"/>
      <c r="R42" s="175"/>
      <c r="S42" s="175"/>
      <c r="T42" s="175"/>
      <c r="U42" s="175"/>
      <c r="V42" s="175"/>
      <c r="W42" s="175"/>
      <c r="X42" s="175"/>
      <c r="Y42" s="175"/>
      <c r="Z42" s="175"/>
    </row>
    <row r="43" hidden="1" outlineLevel="2">
      <c r="A43" s="174"/>
      <c r="B43" s="174"/>
      <c r="C43" s="175"/>
      <c r="D43" s="175"/>
      <c r="E43" s="174" t="s">
        <v>252</v>
      </c>
      <c r="F43" s="175"/>
      <c r="G43" s="175"/>
      <c r="H43" s="175"/>
      <c r="I43" s="175"/>
      <c r="J43" s="175"/>
      <c r="K43" s="175"/>
      <c r="L43" s="175"/>
      <c r="M43" s="175"/>
      <c r="N43" s="175"/>
      <c r="O43" s="175"/>
      <c r="P43" s="175"/>
      <c r="Q43" s="175"/>
      <c r="R43" s="175"/>
      <c r="S43" s="175"/>
      <c r="T43" s="175"/>
      <c r="U43" s="175"/>
      <c r="V43" s="175"/>
      <c r="W43" s="175"/>
      <c r="X43" s="175"/>
      <c r="Y43" s="175"/>
      <c r="Z43" s="175"/>
    </row>
    <row r="44" hidden="1" outlineLevel="2">
      <c r="A44" s="174"/>
      <c r="B44" s="174"/>
      <c r="C44" s="175"/>
      <c r="D44" s="174" t="s">
        <v>253</v>
      </c>
      <c r="E44" s="175"/>
      <c r="F44" s="175"/>
      <c r="G44" s="175"/>
      <c r="H44" s="175"/>
      <c r="I44" s="175"/>
      <c r="J44" s="175"/>
      <c r="K44" s="175"/>
      <c r="L44" s="175"/>
      <c r="M44" s="175"/>
      <c r="N44" s="175"/>
      <c r="O44" s="175"/>
      <c r="P44" s="175"/>
      <c r="Q44" s="175"/>
      <c r="R44" s="175"/>
      <c r="S44" s="175"/>
      <c r="T44" s="175"/>
      <c r="U44" s="175"/>
      <c r="V44" s="175"/>
      <c r="W44" s="175"/>
      <c r="X44" s="175"/>
      <c r="Y44" s="175"/>
      <c r="Z44" s="175"/>
    </row>
    <row r="45" hidden="1" outlineLevel="2">
      <c r="A45" s="175"/>
      <c r="B45" s="175"/>
      <c r="C45" s="174" t="s">
        <v>263</v>
      </c>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hidden="1" outlineLevel="2">
      <c r="A46" s="175"/>
      <c r="B46" s="174" t="s">
        <v>254</v>
      </c>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outlineLevel="1" collapsed="1">
      <c r="A47" s="175"/>
      <c r="B47" s="174" t="s">
        <v>267</v>
      </c>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hidden="1" outlineLevel="2">
      <c r="A48" s="175"/>
      <c r="B48" s="175"/>
      <c r="C48" s="174" t="s">
        <v>268</v>
      </c>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hidden="1" outlineLevel="2">
      <c r="A49" s="175"/>
      <c r="B49" s="175"/>
      <c r="C49" s="174" t="s">
        <v>258</v>
      </c>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hidden="1" outlineLevel="2">
      <c r="A50" s="175"/>
      <c r="B50" s="175"/>
      <c r="C50" s="175"/>
      <c r="D50" s="174" t="s">
        <v>259</v>
      </c>
      <c r="E50" s="175"/>
      <c r="F50" s="175"/>
      <c r="G50" s="175"/>
      <c r="H50" s="175"/>
      <c r="I50" s="175"/>
      <c r="J50" s="175"/>
      <c r="K50" s="175"/>
      <c r="L50" s="175"/>
      <c r="M50" s="175"/>
      <c r="N50" s="175"/>
      <c r="O50" s="175"/>
      <c r="P50" s="175"/>
      <c r="Q50" s="175"/>
      <c r="R50" s="175"/>
      <c r="S50" s="175"/>
      <c r="T50" s="175"/>
      <c r="U50" s="175"/>
      <c r="V50" s="175"/>
      <c r="W50" s="175"/>
      <c r="X50" s="175"/>
      <c r="Y50" s="175"/>
      <c r="Z50" s="175"/>
    </row>
    <row r="51" hidden="1" outlineLevel="2">
      <c r="A51" s="175"/>
      <c r="B51" s="175"/>
      <c r="C51" s="175"/>
      <c r="D51" s="174" t="s">
        <v>260</v>
      </c>
      <c r="E51" s="175"/>
      <c r="F51" s="175"/>
      <c r="G51" s="175"/>
      <c r="H51" s="175"/>
      <c r="I51" s="175"/>
      <c r="J51" s="175"/>
      <c r="K51" s="175"/>
      <c r="L51" s="175"/>
      <c r="M51" s="175"/>
      <c r="N51" s="175"/>
      <c r="O51" s="175"/>
      <c r="P51" s="175"/>
      <c r="Q51" s="175"/>
      <c r="R51" s="175"/>
      <c r="S51" s="175"/>
      <c r="T51" s="175"/>
      <c r="U51" s="175"/>
      <c r="V51" s="175"/>
      <c r="W51" s="175"/>
      <c r="X51" s="175"/>
      <c r="Y51" s="175"/>
      <c r="Z51" s="175"/>
    </row>
    <row r="52" hidden="1" outlineLevel="2">
      <c r="A52" s="175"/>
      <c r="B52" s="175"/>
      <c r="C52" s="175"/>
      <c r="D52" s="174" t="s">
        <v>269</v>
      </c>
      <c r="E52" s="175"/>
      <c r="F52" s="175"/>
      <c r="G52" s="175"/>
      <c r="H52" s="175"/>
      <c r="I52" s="175"/>
      <c r="J52" s="175"/>
      <c r="K52" s="175"/>
      <c r="L52" s="175"/>
      <c r="M52" s="175"/>
      <c r="N52" s="175"/>
      <c r="O52" s="175"/>
      <c r="P52" s="175"/>
      <c r="Q52" s="175"/>
      <c r="R52" s="175"/>
      <c r="S52" s="175"/>
      <c r="T52" s="175"/>
      <c r="U52" s="175"/>
      <c r="V52" s="175"/>
      <c r="W52" s="175"/>
      <c r="X52" s="175"/>
      <c r="Y52" s="175"/>
      <c r="Z52" s="175"/>
    </row>
    <row r="53" hidden="1" outlineLevel="2">
      <c r="A53" s="175"/>
      <c r="B53" s="175"/>
      <c r="C53" s="175"/>
      <c r="D53" s="174" t="s">
        <v>261</v>
      </c>
      <c r="E53" s="179">
        <f>Calculation!I36</f>
        <v>0.19375</v>
      </c>
      <c r="F53" s="174" t="s">
        <v>262</v>
      </c>
      <c r="G53" s="175"/>
      <c r="H53" s="175"/>
      <c r="I53" s="175"/>
      <c r="J53" s="175"/>
      <c r="K53" s="175"/>
      <c r="L53" s="175"/>
      <c r="M53" s="175"/>
      <c r="N53" s="175"/>
      <c r="O53" s="175"/>
      <c r="P53" s="175"/>
      <c r="Q53" s="175"/>
      <c r="R53" s="175"/>
      <c r="S53" s="175"/>
      <c r="T53" s="175"/>
      <c r="U53" s="175"/>
      <c r="V53" s="175"/>
      <c r="W53" s="175"/>
      <c r="X53" s="175"/>
      <c r="Y53" s="175"/>
      <c r="Z53" s="175"/>
    </row>
    <row r="54" hidden="1" outlineLevel="2">
      <c r="A54" s="175"/>
      <c r="B54" s="175"/>
      <c r="C54" s="174" t="s">
        <v>263</v>
      </c>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hidden="1" outlineLevel="2">
      <c r="A55" s="175"/>
      <c r="B55" s="174" t="s">
        <v>254</v>
      </c>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outlineLevel="1" collapsed="1">
      <c r="A56" s="175"/>
      <c r="B56" s="174" t="s">
        <v>270</v>
      </c>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hidden="1" outlineLevel="2">
      <c r="A57" s="175"/>
      <c r="B57" s="175"/>
      <c r="C57" s="174" t="s">
        <v>271</v>
      </c>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hidden="1" outlineLevel="2">
      <c r="A58" s="175"/>
      <c r="B58" s="175"/>
      <c r="C58" s="174" t="s">
        <v>258</v>
      </c>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hidden="1" outlineLevel="2">
      <c r="A59" s="175"/>
      <c r="B59" s="175"/>
      <c r="C59" s="175"/>
      <c r="D59" s="174" t="s">
        <v>259</v>
      </c>
      <c r="E59" s="175"/>
      <c r="F59" s="175"/>
      <c r="G59" s="175"/>
      <c r="H59" s="175"/>
      <c r="I59" s="175"/>
      <c r="J59" s="175"/>
      <c r="K59" s="175"/>
      <c r="L59" s="175"/>
      <c r="M59" s="175"/>
      <c r="N59" s="175"/>
      <c r="O59" s="175"/>
      <c r="P59" s="175"/>
      <c r="Q59" s="175"/>
      <c r="R59" s="175"/>
      <c r="S59" s="175"/>
      <c r="T59" s="175"/>
      <c r="U59" s="175"/>
      <c r="V59" s="175"/>
      <c r="W59" s="175"/>
      <c r="X59" s="175"/>
      <c r="Y59" s="175"/>
      <c r="Z59" s="175"/>
    </row>
    <row r="60" hidden="1" outlineLevel="2">
      <c r="A60" s="175"/>
      <c r="B60" s="175"/>
      <c r="C60" s="175"/>
      <c r="D60" s="174" t="s">
        <v>260</v>
      </c>
      <c r="E60" s="175"/>
      <c r="F60" s="175"/>
      <c r="G60" s="175"/>
      <c r="H60" s="175"/>
      <c r="I60" s="175"/>
      <c r="J60" s="175"/>
      <c r="K60" s="175"/>
      <c r="L60" s="175"/>
      <c r="M60" s="175"/>
      <c r="N60" s="175"/>
      <c r="O60" s="175"/>
      <c r="P60" s="175"/>
      <c r="Q60" s="175"/>
      <c r="R60" s="175"/>
      <c r="S60" s="175"/>
      <c r="T60" s="175"/>
      <c r="U60" s="175"/>
      <c r="V60" s="175"/>
      <c r="W60" s="175"/>
      <c r="X60" s="175"/>
      <c r="Y60" s="175"/>
      <c r="Z60" s="175"/>
    </row>
    <row r="61" hidden="1" outlineLevel="2">
      <c r="A61" s="175"/>
      <c r="B61" s="175"/>
      <c r="C61" s="175"/>
      <c r="D61" s="174" t="s">
        <v>249</v>
      </c>
      <c r="E61" s="175"/>
      <c r="F61" s="175"/>
      <c r="G61" s="175"/>
      <c r="H61" s="175"/>
      <c r="I61" s="175"/>
      <c r="J61" s="175"/>
      <c r="K61" s="175"/>
      <c r="L61" s="175"/>
      <c r="M61" s="175"/>
      <c r="N61" s="175"/>
      <c r="O61" s="175"/>
      <c r="P61" s="175"/>
      <c r="Q61" s="175"/>
      <c r="R61" s="175"/>
      <c r="S61" s="175"/>
      <c r="T61" s="175"/>
      <c r="U61" s="175"/>
      <c r="V61" s="175"/>
      <c r="W61" s="175"/>
      <c r="X61" s="175"/>
      <c r="Y61" s="175"/>
      <c r="Z61" s="175"/>
    </row>
    <row r="62" hidden="1" outlineLevel="2">
      <c r="A62" s="175"/>
      <c r="B62" s="175"/>
      <c r="C62" s="175"/>
      <c r="D62" s="175"/>
      <c r="E62" s="174" t="s">
        <v>272</v>
      </c>
      <c r="F62" s="175"/>
      <c r="G62" s="175"/>
      <c r="H62" s="175"/>
      <c r="I62" s="175"/>
      <c r="J62" s="175"/>
      <c r="K62" s="175"/>
      <c r="L62" s="175"/>
      <c r="M62" s="175"/>
      <c r="N62" s="175"/>
      <c r="O62" s="175"/>
      <c r="P62" s="175"/>
      <c r="Q62" s="175"/>
      <c r="R62" s="175"/>
      <c r="S62" s="175"/>
      <c r="T62" s="175"/>
      <c r="U62" s="175"/>
      <c r="V62" s="175"/>
      <c r="W62" s="175"/>
      <c r="X62" s="175"/>
      <c r="Y62" s="175"/>
      <c r="Z62" s="175"/>
    </row>
    <row r="63" hidden="1" outlineLevel="2">
      <c r="A63" s="175"/>
      <c r="B63" s="175"/>
      <c r="C63" s="175"/>
      <c r="D63" s="175"/>
      <c r="E63" s="174" t="s">
        <v>273</v>
      </c>
      <c r="F63" s="175"/>
      <c r="G63" s="175"/>
      <c r="H63" s="175"/>
      <c r="I63" s="175"/>
      <c r="J63" s="175"/>
      <c r="K63" s="175"/>
      <c r="L63" s="175"/>
      <c r="M63" s="175"/>
      <c r="N63" s="175"/>
      <c r="O63" s="175"/>
      <c r="P63" s="175"/>
      <c r="Q63" s="175"/>
      <c r="R63" s="175"/>
      <c r="S63" s="175"/>
      <c r="T63" s="175"/>
      <c r="U63" s="175"/>
      <c r="V63" s="175"/>
      <c r="W63" s="175"/>
      <c r="X63" s="175"/>
      <c r="Y63" s="175"/>
      <c r="Z63" s="175"/>
    </row>
    <row r="64" hidden="1" outlineLevel="2">
      <c r="A64" s="175"/>
      <c r="B64" s="175"/>
      <c r="C64" s="175"/>
      <c r="D64" s="175"/>
      <c r="E64" s="174" t="s">
        <v>251</v>
      </c>
      <c r="F64" s="175"/>
      <c r="G64" s="175"/>
      <c r="H64" s="175"/>
      <c r="I64" s="175"/>
      <c r="J64" s="175"/>
      <c r="K64" s="175"/>
      <c r="L64" s="175"/>
      <c r="M64" s="175"/>
      <c r="N64" s="175"/>
      <c r="O64" s="175"/>
      <c r="P64" s="175"/>
      <c r="Q64" s="175"/>
      <c r="R64" s="175"/>
      <c r="S64" s="175"/>
      <c r="T64" s="175"/>
      <c r="U64" s="175"/>
      <c r="V64" s="175"/>
      <c r="W64" s="175"/>
      <c r="X64" s="175"/>
      <c r="Y64" s="175"/>
      <c r="Z64" s="175"/>
    </row>
    <row r="65" hidden="1" outlineLevel="2">
      <c r="A65" s="175"/>
      <c r="B65" s="175"/>
      <c r="C65" s="175"/>
      <c r="D65" s="175"/>
      <c r="E65" s="175"/>
      <c r="F65" s="175"/>
      <c r="G65" s="176">
        <v>0.0</v>
      </c>
      <c r="H65" s="176">
        <v>10.0</v>
      </c>
      <c r="I65" s="176">
        <v>20.0</v>
      </c>
      <c r="J65" s="176">
        <v>30.0</v>
      </c>
      <c r="K65" s="175"/>
      <c r="L65" s="175"/>
      <c r="M65" s="175"/>
      <c r="N65" s="175"/>
      <c r="O65" s="175"/>
      <c r="P65" s="175"/>
      <c r="Q65" s="175"/>
      <c r="R65" s="175"/>
      <c r="S65" s="175"/>
      <c r="T65" s="175"/>
      <c r="U65" s="175"/>
      <c r="V65" s="175"/>
      <c r="W65" s="175"/>
      <c r="X65" s="175"/>
      <c r="Y65" s="175"/>
      <c r="Z65" s="175"/>
    </row>
    <row r="66" hidden="1" outlineLevel="2">
      <c r="A66" s="175"/>
      <c r="B66" s="175"/>
      <c r="C66" s="175"/>
      <c r="D66" s="175"/>
      <c r="E66" s="175"/>
      <c r="F66" s="176">
        <v>-0.0873</v>
      </c>
      <c r="G66" s="176">
        <v>0.0</v>
      </c>
      <c r="H66" s="176">
        <v>0.003</v>
      </c>
      <c r="I66" s="176">
        <v>0.0084</v>
      </c>
      <c r="J66" s="176">
        <v>0.0153</v>
      </c>
      <c r="K66" s="175"/>
      <c r="L66" s="175"/>
      <c r="M66" s="175"/>
      <c r="N66" s="175"/>
      <c r="O66" s="175"/>
      <c r="P66" s="175"/>
      <c r="Q66" s="175"/>
      <c r="R66" s="175"/>
      <c r="S66" s="175"/>
      <c r="T66" s="175"/>
      <c r="U66" s="175"/>
      <c r="V66" s="175"/>
      <c r="W66" s="175"/>
      <c r="X66" s="175"/>
      <c r="Y66" s="175"/>
      <c r="Z66" s="175"/>
    </row>
    <row r="67" hidden="1" outlineLevel="2">
      <c r="A67" s="175"/>
      <c r="B67" s="175"/>
      <c r="C67" s="175"/>
      <c r="D67" s="175"/>
      <c r="E67" s="175"/>
      <c r="F67" s="176">
        <v>-0.0698</v>
      </c>
      <c r="G67" s="176">
        <v>0.0</v>
      </c>
      <c r="H67" s="176">
        <v>0.0061</v>
      </c>
      <c r="I67" s="176">
        <v>0.0131</v>
      </c>
      <c r="J67" s="176">
        <v>0.0208</v>
      </c>
      <c r="K67" s="175"/>
      <c r="L67" s="175"/>
      <c r="M67" s="175"/>
      <c r="N67" s="175"/>
      <c r="O67" s="175"/>
      <c r="P67" s="175"/>
      <c r="Q67" s="175"/>
      <c r="R67" s="175"/>
      <c r="S67" s="175"/>
      <c r="T67" s="175"/>
      <c r="U67" s="175"/>
      <c r="V67" s="175"/>
      <c r="W67" s="175"/>
      <c r="X67" s="175"/>
      <c r="Y67" s="175"/>
      <c r="Z67" s="175"/>
    </row>
    <row r="68" hidden="1" outlineLevel="2">
      <c r="A68" s="175"/>
      <c r="B68" s="175"/>
      <c r="C68" s="175"/>
      <c r="D68" s="175"/>
      <c r="E68" s="175"/>
      <c r="F68" s="176">
        <v>-0.0524</v>
      </c>
      <c r="G68" s="176">
        <v>0.0</v>
      </c>
      <c r="H68" s="176">
        <v>0.0092</v>
      </c>
      <c r="I68" s="176">
        <v>0.0178</v>
      </c>
      <c r="J68" s="176">
        <v>0.0263</v>
      </c>
      <c r="K68" s="175"/>
      <c r="L68" s="175"/>
      <c r="M68" s="175"/>
      <c r="N68" s="175"/>
      <c r="O68" s="175"/>
      <c r="P68" s="175"/>
      <c r="Q68" s="175"/>
      <c r="R68" s="175"/>
      <c r="S68" s="175"/>
      <c r="T68" s="175"/>
      <c r="U68" s="175"/>
      <c r="V68" s="175"/>
      <c r="W68" s="175"/>
      <c r="X68" s="175"/>
      <c r="Y68" s="175"/>
      <c r="Z68" s="175"/>
    </row>
    <row r="69" hidden="1" outlineLevel="2">
      <c r="A69" s="174"/>
      <c r="B69" s="174"/>
      <c r="C69" s="174"/>
      <c r="D69" s="174"/>
      <c r="E69" s="175"/>
      <c r="F69" s="176">
        <v>-0.0349</v>
      </c>
      <c r="G69" s="176">
        <v>0.0</v>
      </c>
      <c r="H69" s="176">
        <v>0.0124</v>
      </c>
      <c r="I69" s="176">
        <v>0.0225</v>
      </c>
      <c r="J69" s="176">
        <v>0.0317</v>
      </c>
      <c r="K69" s="175"/>
      <c r="L69" s="175"/>
      <c r="M69" s="175"/>
      <c r="N69" s="175"/>
      <c r="O69" s="175"/>
      <c r="P69" s="175"/>
      <c r="Q69" s="175"/>
      <c r="R69" s="175"/>
      <c r="S69" s="175"/>
      <c r="T69" s="175"/>
      <c r="U69" s="175"/>
      <c r="V69" s="175"/>
      <c r="W69" s="175"/>
      <c r="X69" s="175"/>
      <c r="Y69" s="175"/>
      <c r="Z69" s="175"/>
    </row>
    <row r="70" hidden="1" outlineLevel="2">
      <c r="A70" s="174"/>
      <c r="B70" s="174"/>
      <c r="C70" s="174"/>
      <c r="D70" s="174"/>
      <c r="E70" s="174"/>
      <c r="F70" s="176">
        <v>-0.0175</v>
      </c>
      <c r="G70" s="176">
        <v>0.0</v>
      </c>
      <c r="H70" s="176">
        <v>0.0155</v>
      </c>
      <c r="I70" s="176">
        <v>0.0272</v>
      </c>
      <c r="J70" s="176">
        <v>0.0372</v>
      </c>
      <c r="K70" s="175"/>
      <c r="L70" s="175"/>
      <c r="M70" s="175"/>
      <c r="N70" s="175"/>
      <c r="O70" s="175"/>
      <c r="P70" s="175"/>
      <c r="Q70" s="175"/>
      <c r="R70" s="175"/>
      <c r="S70" s="175"/>
      <c r="T70" s="175"/>
      <c r="U70" s="175"/>
      <c r="V70" s="175"/>
      <c r="W70" s="175"/>
      <c r="X70" s="175"/>
      <c r="Y70" s="175"/>
      <c r="Z70" s="175"/>
    </row>
    <row r="71" hidden="1" outlineLevel="2">
      <c r="A71" s="174"/>
      <c r="B71" s="174"/>
      <c r="C71" s="174"/>
      <c r="D71" s="174"/>
      <c r="E71" s="174"/>
      <c r="F71" s="176">
        <v>0.0</v>
      </c>
      <c r="G71" s="176">
        <v>0.0</v>
      </c>
      <c r="H71" s="176">
        <v>0.0186</v>
      </c>
      <c r="I71" s="176">
        <v>0.0319</v>
      </c>
      <c r="J71" s="176">
        <v>0.0427</v>
      </c>
      <c r="K71" s="175"/>
      <c r="L71" s="175"/>
      <c r="M71" s="175"/>
      <c r="N71" s="175"/>
      <c r="O71" s="175"/>
      <c r="P71" s="175"/>
      <c r="Q71" s="175"/>
      <c r="R71" s="175"/>
      <c r="S71" s="175"/>
      <c r="T71" s="175"/>
      <c r="U71" s="175"/>
      <c r="V71" s="175"/>
      <c r="W71" s="175"/>
      <c r="X71" s="175"/>
      <c r="Y71" s="175"/>
      <c r="Z71" s="175"/>
    </row>
    <row r="72" hidden="1" outlineLevel="2">
      <c r="A72" s="174"/>
      <c r="B72" s="174"/>
      <c r="C72" s="174"/>
      <c r="D72" s="174"/>
      <c r="E72" s="174"/>
      <c r="F72" s="176">
        <v>0.0175</v>
      </c>
      <c r="G72" s="176">
        <v>0.0</v>
      </c>
      <c r="H72" s="176">
        <v>0.0218</v>
      </c>
      <c r="I72" s="176">
        <v>0.0367</v>
      </c>
      <c r="J72" s="176">
        <v>0.0483</v>
      </c>
      <c r="K72" s="175"/>
      <c r="L72" s="175"/>
      <c r="M72" s="175"/>
      <c r="N72" s="175"/>
      <c r="O72" s="175"/>
      <c r="P72" s="175"/>
      <c r="Q72" s="175"/>
      <c r="R72" s="175"/>
      <c r="S72" s="175"/>
      <c r="T72" s="175"/>
      <c r="U72" s="175"/>
      <c r="V72" s="175"/>
      <c r="W72" s="175"/>
      <c r="X72" s="175"/>
      <c r="Y72" s="175"/>
      <c r="Z72" s="175"/>
    </row>
    <row r="73" hidden="1" outlineLevel="2">
      <c r="A73" s="174"/>
      <c r="B73" s="174"/>
      <c r="C73" s="174"/>
      <c r="D73" s="174"/>
      <c r="E73" s="174"/>
      <c r="F73" s="176">
        <v>0.0349</v>
      </c>
      <c r="G73" s="176">
        <v>0.0</v>
      </c>
      <c r="H73" s="176">
        <v>0.025</v>
      </c>
      <c r="I73" s="176">
        <v>0.0415</v>
      </c>
      <c r="J73" s="176">
        <v>0.0539</v>
      </c>
      <c r="K73" s="175"/>
      <c r="L73" s="175"/>
      <c r="M73" s="175"/>
      <c r="N73" s="175"/>
      <c r="O73" s="175"/>
      <c r="P73" s="175"/>
      <c r="Q73" s="175"/>
      <c r="R73" s="175"/>
      <c r="S73" s="175"/>
      <c r="T73" s="175"/>
      <c r="U73" s="175"/>
      <c r="V73" s="175"/>
      <c r="W73" s="175"/>
      <c r="X73" s="175"/>
      <c r="Y73" s="175"/>
      <c r="Z73" s="175"/>
    </row>
    <row r="74" hidden="1" outlineLevel="2">
      <c r="A74" s="174"/>
      <c r="B74" s="174"/>
      <c r="C74" s="174"/>
      <c r="D74" s="174"/>
      <c r="E74" s="174"/>
      <c r="F74" s="176">
        <v>0.0524</v>
      </c>
      <c r="G74" s="176">
        <v>0.0</v>
      </c>
      <c r="H74" s="176">
        <v>0.0282</v>
      </c>
      <c r="I74" s="176">
        <v>0.0463</v>
      </c>
      <c r="J74" s="176">
        <v>0.0594</v>
      </c>
      <c r="K74" s="175"/>
      <c r="L74" s="175"/>
      <c r="M74" s="175"/>
      <c r="N74" s="175"/>
      <c r="O74" s="175"/>
      <c r="P74" s="175"/>
      <c r="Q74" s="175"/>
      <c r="R74" s="175"/>
      <c r="S74" s="175"/>
      <c r="T74" s="175"/>
      <c r="U74" s="175"/>
      <c r="V74" s="175"/>
      <c r="W74" s="175"/>
      <c r="X74" s="175"/>
      <c r="Y74" s="175"/>
      <c r="Z74" s="175"/>
    </row>
    <row r="75" hidden="1" outlineLevel="2">
      <c r="A75" s="174"/>
      <c r="B75" s="174"/>
      <c r="C75" s="174"/>
      <c r="D75" s="174"/>
      <c r="E75" s="174"/>
      <c r="F75" s="176">
        <v>0.0698</v>
      </c>
      <c r="G75" s="176">
        <v>0.0</v>
      </c>
      <c r="H75" s="176">
        <v>0.0314</v>
      </c>
      <c r="I75" s="176">
        <v>0.0511</v>
      </c>
      <c r="J75" s="176">
        <v>0.065</v>
      </c>
      <c r="K75" s="175"/>
      <c r="L75" s="175"/>
      <c r="M75" s="175"/>
      <c r="N75" s="175"/>
      <c r="O75" s="175"/>
      <c r="P75" s="175"/>
      <c r="Q75" s="175"/>
      <c r="R75" s="175"/>
      <c r="S75" s="175"/>
      <c r="T75" s="175"/>
      <c r="U75" s="175"/>
      <c r="V75" s="175"/>
      <c r="W75" s="175"/>
      <c r="X75" s="175"/>
      <c r="Y75" s="175"/>
      <c r="Z75" s="175"/>
    </row>
    <row r="76" hidden="1" outlineLevel="2">
      <c r="A76" s="174"/>
      <c r="B76" s="174"/>
      <c r="C76" s="174"/>
      <c r="D76" s="174"/>
      <c r="E76" s="174"/>
      <c r="F76" s="176">
        <v>0.0873</v>
      </c>
      <c r="G76" s="176">
        <v>0.0</v>
      </c>
      <c r="H76" s="176">
        <v>0.0346</v>
      </c>
      <c r="I76" s="176">
        <v>0.0558</v>
      </c>
      <c r="J76" s="176">
        <v>0.0706</v>
      </c>
      <c r="K76" s="175"/>
      <c r="L76" s="175"/>
      <c r="M76" s="175"/>
      <c r="N76" s="175"/>
      <c r="O76" s="175"/>
      <c r="P76" s="175"/>
      <c r="Q76" s="175"/>
      <c r="R76" s="175"/>
      <c r="S76" s="175"/>
      <c r="T76" s="175"/>
      <c r="U76" s="175"/>
      <c r="V76" s="175"/>
      <c r="W76" s="175"/>
      <c r="X76" s="175"/>
      <c r="Y76" s="175"/>
      <c r="Z76" s="175"/>
    </row>
    <row r="77" hidden="1" outlineLevel="2">
      <c r="A77" s="174"/>
      <c r="B77" s="174"/>
      <c r="C77" s="174"/>
      <c r="D77" s="174"/>
      <c r="E77" s="174"/>
      <c r="F77" s="176">
        <v>0.1047</v>
      </c>
      <c r="G77" s="176">
        <v>0.0</v>
      </c>
      <c r="H77" s="176">
        <v>0.0378</v>
      </c>
      <c r="I77" s="176">
        <v>0.0606</v>
      </c>
      <c r="J77" s="176">
        <v>0.0762</v>
      </c>
      <c r="K77" s="175"/>
      <c r="L77" s="175"/>
      <c r="M77" s="175"/>
      <c r="N77" s="175"/>
      <c r="O77" s="175"/>
      <c r="P77" s="175"/>
      <c r="Q77" s="175"/>
      <c r="R77" s="175"/>
      <c r="S77" s="175"/>
      <c r="T77" s="175"/>
      <c r="U77" s="175"/>
      <c r="V77" s="175"/>
      <c r="W77" s="175"/>
      <c r="X77" s="175"/>
      <c r="Y77" s="175"/>
      <c r="Z77" s="175"/>
    </row>
    <row r="78" hidden="1" outlineLevel="2">
      <c r="A78" s="174"/>
      <c r="B78" s="174"/>
      <c r="C78" s="174"/>
      <c r="D78" s="174"/>
      <c r="E78" s="174"/>
      <c r="F78" s="176">
        <v>0.1222</v>
      </c>
      <c r="G78" s="176">
        <v>0.0</v>
      </c>
      <c r="H78" s="176">
        <v>0.0409</v>
      </c>
      <c r="I78" s="176">
        <v>0.0654</v>
      </c>
      <c r="J78" s="176">
        <v>0.0818</v>
      </c>
      <c r="K78" s="175"/>
      <c r="L78" s="175"/>
      <c r="M78" s="175"/>
      <c r="N78" s="175"/>
      <c r="O78" s="175"/>
      <c r="P78" s="175"/>
      <c r="Q78" s="175"/>
      <c r="R78" s="175"/>
      <c r="S78" s="175"/>
      <c r="T78" s="175"/>
      <c r="U78" s="175"/>
      <c r="V78" s="175"/>
      <c r="W78" s="175"/>
      <c r="X78" s="175"/>
      <c r="Y78" s="175"/>
      <c r="Z78" s="175"/>
    </row>
    <row r="79" hidden="1" outlineLevel="2">
      <c r="A79" s="174"/>
      <c r="B79" s="174"/>
      <c r="C79" s="174"/>
      <c r="D79" s="174"/>
      <c r="E79" s="174"/>
      <c r="F79" s="176">
        <v>0.1396</v>
      </c>
      <c r="G79" s="176">
        <v>0.0</v>
      </c>
      <c r="H79" s="176">
        <v>0.0441</v>
      </c>
      <c r="I79" s="176">
        <v>0.0702</v>
      </c>
      <c r="J79" s="176">
        <v>0.0873</v>
      </c>
      <c r="K79" s="175"/>
      <c r="L79" s="175"/>
      <c r="M79" s="175"/>
      <c r="N79" s="175"/>
      <c r="O79" s="175"/>
      <c r="P79" s="175"/>
      <c r="Q79" s="175"/>
      <c r="R79" s="175"/>
      <c r="S79" s="175"/>
      <c r="T79" s="175"/>
      <c r="U79" s="175"/>
      <c r="V79" s="175"/>
      <c r="W79" s="175"/>
      <c r="X79" s="175"/>
      <c r="Y79" s="175"/>
      <c r="Z79" s="175"/>
    </row>
    <row r="80" hidden="1" outlineLevel="2">
      <c r="A80" s="174"/>
      <c r="B80" s="174"/>
      <c r="C80" s="174"/>
      <c r="D80" s="174"/>
      <c r="E80" s="174"/>
      <c r="F80" s="176">
        <v>0.1571</v>
      </c>
      <c r="G80" s="176">
        <v>0.0</v>
      </c>
      <c r="H80" s="176">
        <v>0.0461</v>
      </c>
      <c r="I80" s="176">
        <v>0.0731</v>
      </c>
      <c r="J80" s="176">
        <v>0.0907</v>
      </c>
      <c r="K80" s="175"/>
      <c r="L80" s="175"/>
      <c r="M80" s="175"/>
      <c r="N80" s="175"/>
      <c r="O80" s="175"/>
      <c r="P80" s="175"/>
      <c r="Q80" s="175"/>
      <c r="R80" s="175"/>
      <c r="S80" s="175"/>
      <c r="T80" s="175"/>
      <c r="U80" s="175"/>
      <c r="V80" s="175"/>
      <c r="W80" s="175"/>
      <c r="X80" s="175"/>
      <c r="Y80" s="175"/>
      <c r="Z80" s="175"/>
    </row>
    <row r="81" hidden="1" outlineLevel="2">
      <c r="A81" s="174"/>
      <c r="B81" s="174"/>
      <c r="C81" s="174"/>
      <c r="D81" s="174"/>
      <c r="E81" s="174"/>
      <c r="F81" s="176">
        <v>0.1745</v>
      </c>
      <c r="G81" s="176">
        <v>0.0</v>
      </c>
      <c r="H81" s="176">
        <v>0.048</v>
      </c>
      <c r="I81" s="176">
        <v>0.076</v>
      </c>
      <c r="J81" s="176">
        <v>0.0941</v>
      </c>
      <c r="K81" s="175"/>
      <c r="L81" s="175"/>
      <c r="M81" s="175"/>
      <c r="N81" s="175"/>
      <c r="O81" s="175"/>
      <c r="P81" s="175"/>
      <c r="Q81" s="175"/>
      <c r="R81" s="175"/>
      <c r="S81" s="175"/>
      <c r="T81" s="175"/>
      <c r="U81" s="175"/>
      <c r="V81" s="175"/>
      <c r="W81" s="175"/>
      <c r="X81" s="175"/>
      <c r="Y81" s="175"/>
      <c r="Z81" s="175"/>
    </row>
    <row r="82" hidden="1" outlineLevel="2">
      <c r="A82" s="174"/>
      <c r="B82" s="174"/>
      <c r="C82" s="174"/>
      <c r="D82" s="174"/>
      <c r="E82" s="174"/>
      <c r="F82" s="176">
        <v>0.192</v>
      </c>
      <c r="G82" s="176">
        <v>0.0</v>
      </c>
      <c r="H82" s="176">
        <v>0.0499</v>
      </c>
      <c r="I82" s="176">
        <v>0.0789</v>
      </c>
      <c r="J82" s="176">
        <v>0.0975</v>
      </c>
      <c r="K82" s="175"/>
      <c r="L82" s="175"/>
      <c r="M82" s="175"/>
      <c r="N82" s="175"/>
      <c r="O82" s="175"/>
      <c r="P82" s="175"/>
      <c r="Q82" s="175"/>
      <c r="R82" s="175"/>
      <c r="S82" s="175"/>
      <c r="T82" s="175"/>
      <c r="U82" s="175"/>
      <c r="V82" s="175"/>
      <c r="W82" s="175"/>
      <c r="X82" s="175"/>
      <c r="Y82" s="175"/>
      <c r="Z82" s="175"/>
    </row>
    <row r="83" hidden="1" outlineLevel="2">
      <c r="A83" s="174"/>
      <c r="B83" s="174"/>
      <c r="C83" s="174"/>
      <c r="D83" s="174"/>
      <c r="E83" s="174"/>
      <c r="F83" s="176">
        <v>0.2094</v>
      </c>
      <c r="G83" s="176">
        <v>0.0</v>
      </c>
      <c r="H83" s="176">
        <v>0.0518</v>
      </c>
      <c r="I83" s="176">
        <v>0.0818</v>
      </c>
      <c r="J83" s="176">
        <v>0.1008</v>
      </c>
      <c r="K83" s="175"/>
      <c r="L83" s="175"/>
      <c r="M83" s="175"/>
      <c r="N83" s="175"/>
      <c r="O83" s="175"/>
      <c r="P83" s="175"/>
      <c r="Q83" s="175"/>
      <c r="R83" s="175"/>
      <c r="S83" s="175"/>
      <c r="T83" s="175"/>
      <c r="U83" s="175"/>
      <c r="V83" s="175"/>
      <c r="W83" s="175"/>
      <c r="X83" s="175"/>
      <c r="Y83" s="175"/>
      <c r="Z83" s="175"/>
    </row>
    <row r="84" hidden="1" outlineLevel="2">
      <c r="A84" s="174"/>
      <c r="B84" s="174"/>
      <c r="C84" s="174"/>
      <c r="D84" s="174"/>
      <c r="E84" s="174"/>
      <c r="F84" s="176">
        <v>0.2269</v>
      </c>
      <c r="G84" s="176">
        <v>0.0</v>
      </c>
      <c r="H84" s="176">
        <v>0.0538</v>
      </c>
      <c r="I84" s="176">
        <v>0.0847</v>
      </c>
      <c r="J84" s="176">
        <v>0.1043</v>
      </c>
      <c r="K84" s="175"/>
      <c r="L84" s="175"/>
      <c r="M84" s="175"/>
      <c r="N84" s="175"/>
      <c r="O84" s="175"/>
      <c r="P84" s="175"/>
      <c r="Q84" s="175"/>
      <c r="R84" s="175"/>
      <c r="S84" s="175"/>
      <c r="T84" s="175"/>
      <c r="U84" s="175"/>
      <c r="V84" s="175"/>
      <c r="W84" s="175"/>
      <c r="X84" s="175"/>
      <c r="Y84" s="175"/>
      <c r="Z84" s="175"/>
    </row>
    <row r="85" hidden="1" outlineLevel="2">
      <c r="A85" s="174"/>
      <c r="B85" s="174"/>
      <c r="C85" s="174"/>
      <c r="D85" s="174"/>
      <c r="E85" s="174"/>
      <c r="F85" s="176">
        <v>0.2443</v>
      </c>
      <c r="G85" s="176">
        <v>0.0</v>
      </c>
      <c r="H85" s="176">
        <v>0.0559</v>
      </c>
      <c r="I85" s="176">
        <v>0.0879</v>
      </c>
      <c r="J85" s="176">
        <v>0.108</v>
      </c>
      <c r="K85" s="175"/>
      <c r="L85" s="175"/>
      <c r="M85" s="175"/>
      <c r="N85" s="175"/>
      <c r="O85" s="175"/>
      <c r="P85" s="175"/>
      <c r="Q85" s="175"/>
      <c r="R85" s="175"/>
      <c r="S85" s="175"/>
      <c r="T85" s="175"/>
      <c r="U85" s="175"/>
      <c r="V85" s="175"/>
      <c r="W85" s="175"/>
      <c r="X85" s="175"/>
      <c r="Y85" s="175"/>
      <c r="Z85" s="175"/>
    </row>
    <row r="86" hidden="1" outlineLevel="2">
      <c r="A86" s="174"/>
      <c r="B86" s="174"/>
      <c r="C86" s="174"/>
      <c r="D86" s="174"/>
      <c r="E86" s="174"/>
      <c r="F86" s="176">
        <v>0.2618</v>
      </c>
      <c r="G86" s="176">
        <v>0.0</v>
      </c>
      <c r="H86" s="176">
        <v>0.0582</v>
      </c>
      <c r="I86" s="176">
        <v>0.0913</v>
      </c>
      <c r="J86" s="176">
        <v>0.112</v>
      </c>
      <c r="K86" s="175"/>
      <c r="L86" s="175"/>
      <c r="M86" s="175"/>
      <c r="N86" s="175"/>
      <c r="O86" s="175"/>
      <c r="P86" s="175"/>
      <c r="Q86" s="175"/>
      <c r="R86" s="175"/>
      <c r="S86" s="175"/>
      <c r="T86" s="175"/>
      <c r="U86" s="175"/>
      <c r="V86" s="175"/>
      <c r="W86" s="175"/>
      <c r="X86" s="175"/>
      <c r="Y86" s="175"/>
      <c r="Z86" s="175"/>
    </row>
    <row r="87" hidden="1" outlineLevel="2">
      <c r="A87" s="174"/>
      <c r="B87" s="174"/>
      <c r="C87" s="174"/>
      <c r="D87" s="174"/>
      <c r="E87" s="174"/>
      <c r="F87" s="176">
        <v>0.2793</v>
      </c>
      <c r="G87" s="176">
        <v>0.0</v>
      </c>
      <c r="H87" s="176">
        <v>0.059</v>
      </c>
      <c r="I87" s="176">
        <v>0.0925</v>
      </c>
      <c r="J87" s="176">
        <v>0.1133</v>
      </c>
      <c r="K87" s="175"/>
      <c r="L87" s="175"/>
      <c r="M87" s="175"/>
      <c r="N87" s="175"/>
      <c r="O87" s="175"/>
      <c r="P87" s="175"/>
      <c r="Q87" s="175"/>
      <c r="R87" s="175"/>
      <c r="S87" s="175"/>
      <c r="T87" s="175"/>
      <c r="U87" s="175"/>
      <c r="V87" s="175"/>
      <c r="W87" s="175"/>
      <c r="X87" s="175"/>
      <c r="Y87" s="175"/>
      <c r="Z87" s="175"/>
    </row>
    <row r="88" hidden="1" outlineLevel="2">
      <c r="A88" s="174"/>
      <c r="B88" s="174"/>
      <c r="C88" s="174"/>
      <c r="D88" s="174"/>
      <c r="E88" s="174"/>
      <c r="F88" s="176">
        <v>0.2967</v>
      </c>
      <c r="G88" s="176">
        <v>0.0</v>
      </c>
      <c r="H88" s="176">
        <v>0.0581</v>
      </c>
      <c r="I88" s="176">
        <v>0.0911</v>
      </c>
      <c r="J88" s="176">
        <v>0.1117</v>
      </c>
      <c r="K88" s="175"/>
      <c r="L88" s="175"/>
      <c r="M88" s="175"/>
      <c r="N88" s="175"/>
      <c r="O88" s="175"/>
      <c r="P88" s="175"/>
      <c r="Q88" s="175"/>
      <c r="R88" s="175"/>
      <c r="S88" s="175"/>
      <c r="T88" s="175"/>
      <c r="U88" s="175"/>
      <c r="V88" s="175"/>
      <c r="W88" s="175"/>
      <c r="X88" s="175"/>
      <c r="Y88" s="175"/>
      <c r="Z88" s="175"/>
    </row>
    <row r="89" hidden="1" outlineLevel="2">
      <c r="A89" s="174"/>
      <c r="B89" s="174"/>
      <c r="C89" s="174"/>
      <c r="D89" s="174"/>
      <c r="E89" s="174"/>
      <c r="F89" s="176">
        <v>0.3142</v>
      </c>
      <c r="G89" s="176">
        <v>0.0</v>
      </c>
      <c r="H89" s="176">
        <v>0.0567</v>
      </c>
      <c r="I89" s="176">
        <v>0.089</v>
      </c>
      <c r="J89" s="176">
        <v>0.1093</v>
      </c>
      <c r="K89" s="175"/>
      <c r="L89" s="175"/>
      <c r="M89" s="175"/>
      <c r="N89" s="175"/>
      <c r="O89" s="175"/>
      <c r="P89" s="175"/>
      <c r="Q89" s="175"/>
      <c r="R89" s="175"/>
      <c r="S89" s="175"/>
      <c r="T89" s="175"/>
      <c r="U89" s="175"/>
      <c r="V89" s="175"/>
      <c r="W89" s="175"/>
      <c r="X89" s="175"/>
      <c r="Y89" s="175"/>
      <c r="Z89" s="175"/>
    </row>
    <row r="90" hidden="1" outlineLevel="2">
      <c r="A90" s="174"/>
      <c r="B90" s="174"/>
      <c r="C90" s="174"/>
      <c r="D90" s="174"/>
      <c r="E90" s="174"/>
      <c r="F90" s="176">
        <v>0.3316</v>
      </c>
      <c r="G90" s="176">
        <v>0.0</v>
      </c>
      <c r="H90" s="176">
        <v>0.0546</v>
      </c>
      <c r="I90" s="176">
        <v>0.0859</v>
      </c>
      <c r="J90" s="176">
        <v>0.1056</v>
      </c>
      <c r="K90" s="175"/>
      <c r="L90" s="175"/>
      <c r="M90" s="175"/>
      <c r="N90" s="175"/>
      <c r="O90" s="175"/>
      <c r="P90" s="175"/>
      <c r="Q90" s="175"/>
      <c r="R90" s="175"/>
      <c r="S90" s="175"/>
      <c r="T90" s="175"/>
      <c r="U90" s="175"/>
      <c r="V90" s="175"/>
      <c r="W90" s="175"/>
      <c r="X90" s="175"/>
      <c r="Y90" s="175"/>
      <c r="Z90" s="175"/>
    </row>
    <row r="91" hidden="1" outlineLevel="2">
      <c r="A91" s="174"/>
      <c r="B91" s="174"/>
      <c r="C91" s="174"/>
      <c r="D91" s="174"/>
      <c r="E91" s="174"/>
      <c r="F91" s="176">
        <v>0.3491</v>
      </c>
      <c r="G91" s="176">
        <v>0.0</v>
      </c>
      <c r="H91" s="176">
        <v>0.0485</v>
      </c>
      <c r="I91" s="176">
        <v>0.0767</v>
      </c>
      <c r="J91" s="176">
        <v>0.095</v>
      </c>
      <c r="K91" s="175"/>
      <c r="L91" s="175"/>
      <c r="M91" s="175"/>
      <c r="N91" s="175"/>
      <c r="O91" s="175"/>
      <c r="P91" s="175"/>
      <c r="Q91" s="175"/>
      <c r="R91" s="175"/>
      <c r="S91" s="175"/>
      <c r="T91" s="175"/>
      <c r="U91" s="175"/>
      <c r="V91" s="175"/>
      <c r="W91" s="175"/>
      <c r="X91" s="175"/>
      <c r="Y91" s="175"/>
      <c r="Z91" s="175"/>
    </row>
    <row r="92" hidden="1" outlineLevel="2">
      <c r="A92" s="174"/>
      <c r="B92" s="174"/>
      <c r="C92" s="174"/>
      <c r="D92" s="174"/>
      <c r="E92" s="174" t="s">
        <v>252</v>
      </c>
      <c r="F92" s="175"/>
      <c r="G92" s="175"/>
      <c r="H92" s="175"/>
      <c r="I92" s="175"/>
      <c r="J92" s="175"/>
      <c r="K92" s="175"/>
      <c r="L92" s="175"/>
      <c r="M92" s="175"/>
      <c r="N92" s="175"/>
      <c r="O92" s="175"/>
      <c r="P92" s="175"/>
      <c r="Q92" s="175"/>
      <c r="R92" s="175"/>
      <c r="S92" s="175"/>
      <c r="T92" s="175"/>
      <c r="U92" s="175"/>
      <c r="V92" s="175"/>
      <c r="W92" s="175"/>
      <c r="X92" s="175"/>
      <c r="Y92" s="175"/>
      <c r="Z92" s="175"/>
    </row>
    <row r="93" hidden="1" outlineLevel="2">
      <c r="A93" s="174"/>
      <c r="B93" s="174"/>
      <c r="C93" s="174"/>
      <c r="D93" s="174" t="s">
        <v>253</v>
      </c>
      <c r="E93" s="174"/>
      <c r="F93" s="175"/>
      <c r="G93" s="175"/>
      <c r="H93" s="175"/>
      <c r="I93" s="175"/>
      <c r="J93" s="175"/>
      <c r="K93" s="175"/>
      <c r="L93" s="175"/>
      <c r="M93" s="175"/>
      <c r="N93" s="175"/>
      <c r="O93" s="175"/>
      <c r="P93" s="175"/>
      <c r="Q93" s="175"/>
      <c r="R93" s="175"/>
      <c r="S93" s="175"/>
      <c r="T93" s="175"/>
      <c r="U93" s="175"/>
      <c r="V93" s="175"/>
      <c r="W93" s="175"/>
      <c r="X93" s="175"/>
      <c r="Y93" s="175"/>
      <c r="Z93" s="175"/>
    </row>
    <row r="94" hidden="1" outlineLevel="2">
      <c r="A94" s="174"/>
      <c r="B94" s="174"/>
      <c r="C94" s="174" t="s">
        <v>263</v>
      </c>
      <c r="D94" s="174"/>
      <c r="E94" s="174"/>
      <c r="F94" s="175"/>
      <c r="G94" s="175"/>
      <c r="H94" s="175"/>
      <c r="I94" s="175"/>
      <c r="J94" s="175"/>
      <c r="K94" s="175"/>
      <c r="L94" s="175"/>
      <c r="M94" s="175"/>
      <c r="N94" s="175"/>
      <c r="O94" s="175"/>
      <c r="P94" s="175"/>
      <c r="Q94" s="175"/>
      <c r="R94" s="175"/>
      <c r="S94" s="175"/>
      <c r="T94" s="175"/>
      <c r="U94" s="175"/>
      <c r="V94" s="175"/>
      <c r="W94" s="175"/>
      <c r="X94" s="175"/>
      <c r="Y94" s="175"/>
      <c r="Z94" s="175"/>
    </row>
    <row r="95" hidden="1" outlineLevel="2">
      <c r="A95" s="174"/>
      <c r="B95" s="174" t="s">
        <v>254</v>
      </c>
      <c r="C95" s="174"/>
      <c r="D95" s="174"/>
      <c r="E95" s="174"/>
      <c r="F95" s="175"/>
      <c r="G95" s="175"/>
      <c r="H95" s="175"/>
      <c r="I95" s="175"/>
      <c r="J95" s="175"/>
      <c r="K95" s="175"/>
      <c r="L95" s="175"/>
      <c r="M95" s="175"/>
      <c r="N95" s="175"/>
      <c r="O95" s="175"/>
      <c r="P95" s="175"/>
      <c r="Q95" s="175"/>
      <c r="R95" s="175"/>
      <c r="S95" s="175"/>
      <c r="T95" s="175"/>
      <c r="U95" s="175"/>
      <c r="V95" s="175"/>
      <c r="W95" s="175"/>
      <c r="X95" s="175"/>
      <c r="Y95" s="175"/>
      <c r="Z95" s="175"/>
    </row>
    <row r="96" outlineLevel="1" collapsed="1">
      <c r="A96" s="175"/>
      <c r="B96" s="174" t="s">
        <v>274</v>
      </c>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hidden="1" outlineLevel="2">
      <c r="A97" s="175"/>
      <c r="B97" s="175"/>
      <c r="C97" s="174" t="s">
        <v>275</v>
      </c>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hidden="1" outlineLevel="2">
      <c r="A98" s="175"/>
      <c r="B98" s="175"/>
      <c r="C98" s="174" t="s">
        <v>258</v>
      </c>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hidden="1" outlineLevel="2">
      <c r="A99" s="175"/>
      <c r="B99" s="175"/>
      <c r="C99" s="175"/>
      <c r="D99" s="174" t="s">
        <v>259</v>
      </c>
      <c r="E99" s="175"/>
      <c r="F99" s="175"/>
      <c r="G99" s="175"/>
      <c r="H99" s="175"/>
      <c r="I99" s="175"/>
      <c r="J99" s="175"/>
      <c r="K99" s="175"/>
      <c r="L99" s="175"/>
      <c r="M99" s="175"/>
      <c r="N99" s="175"/>
      <c r="O99" s="175"/>
      <c r="P99" s="175"/>
      <c r="Q99" s="175"/>
      <c r="R99" s="175"/>
      <c r="S99" s="175"/>
      <c r="T99" s="175"/>
      <c r="U99" s="175"/>
      <c r="V99" s="175"/>
      <c r="W99" s="175"/>
      <c r="X99" s="175"/>
      <c r="Y99" s="175"/>
      <c r="Z99" s="175"/>
    </row>
    <row r="100" hidden="1" outlineLevel="2">
      <c r="A100" s="175"/>
      <c r="B100" s="175"/>
      <c r="C100" s="175"/>
      <c r="D100" s="174" t="s">
        <v>260</v>
      </c>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hidden="1" outlineLevel="2">
      <c r="A101" s="175"/>
      <c r="B101" s="175"/>
      <c r="C101" s="175"/>
      <c r="D101" s="174" t="s">
        <v>276</v>
      </c>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hidden="1" outlineLevel="2">
      <c r="A102" s="175"/>
      <c r="B102" s="175"/>
      <c r="C102" s="175"/>
      <c r="D102" s="174" t="s">
        <v>261</v>
      </c>
      <c r="E102" s="179">
        <f>Calculation!$I$40</f>
        <v>0.04703443878</v>
      </c>
      <c r="F102" s="174" t="s">
        <v>262</v>
      </c>
      <c r="G102" s="175"/>
      <c r="H102" s="175"/>
      <c r="I102" s="175"/>
      <c r="J102" s="175"/>
      <c r="K102" s="175"/>
      <c r="L102" s="175"/>
      <c r="M102" s="175"/>
      <c r="N102" s="175"/>
      <c r="O102" s="175"/>
      <c r="P102" s="175"/>
      <c r="Q102" s="175"/>
      <c r="R102" s="175"/>
      <c r="S102" s="175"/>
      <c r="T102" s="175"/>
      <c r="U102" s="175"/>
      <c r="V102" s="175"/>
      <c r="W102" s="175"/>
      <c r="X102" s="175"/>
      <c r="Y102" s="175"/>
      <c r="Z102" s="175"/>
    </row>
    <row r="103" hidden="1" outlineLevel="2">
      <c r="A103" s="175"/>
      <c r="B103" s="175"/>
      <c r="C103" s="174" t="s">
        <v>263</v>
      </c>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hidden="1" outlineLevel="2">
      <c r="A104" s="175"/>
      <c r="B104" s="174" t="s">
        <v>254</v>
      </c>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outlineLevel="1" collapsed="1">
      <c r="A105" s="177"/>
      <c r="B105" s="174" t="s">
        <v>277</v>
      </c>
      <c r="C105" s="174"/>
      <c r="D105" s="174"/>
      <c r="E105" s="174"/>
      <c r="F105" s="174"/>
      <c r="G105" s="174"/>
      <c r="H105" s="174"/>
      <c r="I105" s="178"/>
      <c r="J105" s="178"/>
      <c r="K105" s="178"/>
      <c r="L105" s="178"/>
      <c r="M105" s="178"/>
      <c r="N105" s="178"/>
      <c r="O105" s="178"/>
      <c r="P105" s="178"/>
      <c r="Q105" s="178"/>
      <c r="R105" s="178"/>
      <c r="S105" s="178"/>
      <c r="T105" s="178"/>
      <c r="U105" s="178"/>
      <c r="V105" s="178"/>
      <c r="W105" s="178"/>
      <c r="X105" s="178"/>
      <c r="Y105" s="178"/>
      <c r="Z105" s="178"/>
    </row>
    <row r="106" hidden="1" outlineLevel="2">
      <c r="A106" s="177"/>
      <c r="B106" s="174"/>
      <c r="C106" s="174" t="s">
        <v>278</v>
      </c>
      <c r="D106" s="174"/>
      <c r="E106" s="174"/>
      <c r="F106" s="174"/>
      <c r="G106" s="174"/>
      <c r="H106" s="174"/>
      <c r="I106" s="178"/>
      <c r="J106" s="178"/>
      <c r="K106" s="178"/>
      <c r="L106" s="178"/>
      <c r="M106" s="178"/>
      <c r="N106" s="178"/>
      <c r="O106" s="178"/>
      <c r="P106" s="178"/>
      <c r="Q106" s="178"/>
      <c r="R106" s="178"/>
      <c r="S106" s="178"/>
      <c r="T106" s="178"/>
      <c r="U106" s="178"/>
      <c r="V106" s="178"/>
      <c r="W106" s="178"/>
      <c r="X106" s="178"/>
      <c r="Y106" s="178"/>
      <c r="Z106" s="178"/>
    </row>
    <row r="107" hidden="1" outlineLevel="2">
      <c r="A107" s="177"/>
      <c r="B107" s="174"/>
      <c r="C107" s="174" t="s">
        <v>258</v>
      </c>
      <c r="D107" s="174"/>
      <c r="E107" s="174"/>
      <c r="F107" s="174"/>
      <c r="G107" s="174"/>
      <c r="H107" s="174"/>
      <c r="I107" s="178"/>
      <c r="J107" s="178"/>
      <c r="K107" s="178"/>
      <c r="L107" s="178"/>
      <c r="M107" s="178"/>
      <c r="N107" s="178"/>
      <c r="O107" s="178"/>
      <c r="P107" s="178"/>
      <c r="Q107" s="178"/>
      <c r="R107" s="178"/>
      <c r="S107" s="178"/>
      <c r="T107" s="178"/>
      <c r="U107" s="178"/>
      <c r="V107" s="178"/>
      <c r="W107" s="178"/>
      <c r="X107" s="178"/>
      <c r="Y107" s="178"/>
      <c r="Z107" s="178"/>
    </row>
    <row r="108" hidden="1" outlineLevel="2">
      <c r="A108" s="177"/>
      <c r="B108" s="174"/>
      <c r="C108" s="174"/>
      <c r="D108" s="174" t="s">
        <v>259</v>
      </c>
      <c r="E108" s="174"/>
      <c r="F108" s="174"/>
      <c r="G108" s="174"/>
      <c r="H108" s="174"/>
      <c r="I108" s="178"/>
      <c r="J108" s="178"/>
      <c r="K108" s="178"/>
      <c r="L108" s="178"/>
      <c r="M108" s="178"/>
      <c r="N108" s="178"/>
      <c r="O108" s="178"/>
      <c r="P108" s="178"/>
      <c r="Q108" s="178"/>
      <c r="R108" s="178"/>
      <c r="S108" s="178"/>
      <c r="T108" s="178"/>
      <c r="U108" s="178"/>
      <c r="V108" s="178"/>
      <c r="W108" s="178"/>
      <c r="X108" s="178"/>
      <c r="Y108" s="178"/>
      <c r="Z108" s="178"/>
    </row>
    <row r="109" hidden="1" outlineLevel="2">
      <c r="A109" s="177"/>
      <c r="B109" s="174"/>
      <c r="C109" s="174"/>
      <c r="D109" s="174" t="s">
        <v>260</v>
      </c>
      <c r="E109" s="174"/>
      <c r="F109" s="174"/>
      <c r="G109" s="174"/>
      <c r="H109" s="174"/>
      <c r="I109" s="178"/>
      <c r="J109" s="178"/>
      <c r="K109" s="178"/>
      <c r="L109" s="178"/>
      <c r="M109" s="178"/>
      <c r="N109" s="178"/>
      <c r="O109" s="178"/>
      <c r="P109" s="178"/>
      <c r="Q109" s="178"/>
      <c r="R109" s="178"/>
      <c r="S109" s="178"/>
      <c r="T109" s="178"/>
      <c r="U109" s="178"/>
      <c r="V109" s="178"/>
      <c r="W109" s="178"/>
      <c r="X109" s="178"/>
      <c r="Y109" s="178"/>
      <c r="Z109" s="178"/>
    </row>
    <row r="110" hidden="1" outlineLevel="2">
      <c r="A110" s="177"/>
      <c r="B110" s="174"/>
      <c r="C110" s="174"/>
      <c r="D110" s="174" t="s">
        <v>279</v>
      </c>
      <c r="E110" s="174"/>
      <c r="F110" s="174"/>
      <c r="G110" s="174"/>
      <c r="H110" s="174"/>
      <c r="I110" s="178"/>
      <c r="J110" s="178"/>
      <c r="K110" s="178"/>
      <c r="L110" s="178"/>
      <c r="M110" s="178"/>
      <c r="N110" s="178"/>
      <c r="O110" s="178"/>
      <c r="P110" s="178"/>
      <c r="Q110" s="178"/>
      <c r="R110" s="178"/>
      <c r="S110" s="178"/>
      <c r="T110" s="178"/>
      <c r="U110" s="178"/>
      <c r="V110" s="178"/>
      <c r="W110" s="178"/>
      <c r="X110" s="178"/>
      <c r="Y110" s="178"/>
      <c r="Z110" s="178"/>
    </row>
    <row r="111" hidden="1" outlineLevel="2">
      <c r="A111" s="177"/>
      <c r="B111" s="178"/>
      <c r="C111" s="178"/>
      <c r="D111" s="174" t="s">
        <v>261</v>
      </c>
      <c r="E111" s="179">
        <f>Calculation!I119</f>
        <v>0.1861702806</v>
      </c>
      <c r="F111" s="174" t="s">
        <v>262</v>
      </c>
      <c r="G111" s="178"/>
      <c r="H111" s="178"/>
      <c r="I111" s="178"/>
      <c r="J111" s="178"/>
      <c r="K111" s="178"/>
      <c r="L111" s="178"/>
      <c r="M111" s="178"/>
      <c r="N111" s="178"/>
      <c r="O111" s="178"/>
      <c r="P111" s="178"/>
      <c r="Q111" s="178"/>
      <c r="R111" s="178"/>
      <c r="S111" s="178"/>
      <c r="T111" s="178"/>
      <c r="U111" s="178"/>
      <c r="V111" s="178"/>
      <c r="W111" s="178"/>
      <c r="X111" s="178"/>
      <c r="Y111" s="178"/>
      <c r="Z111" s="178"/>
    </row>
    <row r="112" hidden="1" outlineLevel="2">
      <c r="A112" s="174"/>
      <c r="B112" s="174"/>
      <c r="C112" s="174" t="s">
        <v>263</v>
      </c>
      <c r="D112" s="174"/>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row>
    <row r="113" hidden="1" outlineLevel="2">
      <c r="A113" s="174"/>
      <c r="B113" s="174" t="s">
        <v>254</v>
      </c>
      <c r="C113" s="174"/>
      <c r="D113" s="174"/>
      <c r="E113" s="178"/>
      <c r="F113" s="178"/>
      <c r="G113" s="178"/>
      <c r="H113" s="178"/>
      <c r="I113" s="178"/>
      <c r="J113" s="178"/>
      <c r="K113" s="178"/>
      <c r="L113" s="178"/>
      <c r="M113" s="178"/>
      <c r="N113" s="178"/>
      <c r="O113" s="178"/>
      <c r="P113" s="178"/>
      <c r="Q113" s="178"/>
      <c r="R113" s="178"/>
      <c r="S113" s="178"/>
      <c r="T113" s="178"/>
      <c r="U113" s="178"/>
      <c r="V113" s="178"/>
      <c r="W113" s="178"/>
      <c r="X113" s="178"/>
      <c r="Y113" s="178"/>
      <c r="Z113" s="178"/>
    </row>
    <row r="114" outlineLevel="1">
      <c r="A114" s="177" t="s">
        <v>280</v>
      </c>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c r="Y114" s="178"/>
      <c r="Z114" s="178"/>
    </row>
    <row r="115">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c r="A116" s="177" t="s">
        <v>281</v>
      </c>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row>
    <row r="117" outlineLevel="1" collapsed="1">
      <c r="A117" s="175"/>
      <c r="B117" s="174" t="s">
        <v>282</v>
      </c>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hidden="1" outlineLevel="2">
      <c r="A118" s="175"/>
      <c r="B118" s="175"/>
      <c r="C118" s="174" t="s">
        <v>283</v>
      </c>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hidden="1" outlineLevel="2">
      <c r="A119" s="175"/>
      <c r="B119" s="175"/>
      <c r="C119" s="174" t="s">
        <v>258</v>
      </c>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hidden="1" outlineLevel="2">
      <c r="A120" s="175"/>
      <c r="B120" s="175"/>
      <c r="C120" s="175"/>
      <c r="D120" s="174" t="s">
        <v>259</v>
      </c>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hidden="1" outlineLevel="2">
      <c r="A121" s="175"/>
      <c r="B121" s="175"/>
      <c r="C121" s="175"/>
      <c r="D121" s="174" t="s">
        <v>260</v>
      </c>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hidden="1" outlineLevel="2">
      <c r="A122" s="175"/>
      <c r="B122" s="175"/>
      <c r="C122" s="175"/>
      <c r="D122" s="174" t="s">
        <v>284</v>
      </c>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hidden="1" outlineLevel="2">
      <c r="A123" s="175"/>
      <c r="B123" s="175"/>
      <c r="C123" s="175"/>
      <c r="D123" s="174" t="s">
        <v>261</v>
      </c>
      <c r="E123" s="179">
        <f>Calculation!$I$43</f>
        <v>0.48</v>
      </c>
      <c r="F123" s="174" t="s">
        <v>262</v>
      </c>
      <c r="G123" s="175"/>
      <c r="H123" s="175"/>
      <c r="I123" s="175"/>
      <c r="J123" s="175"/>
      <c r="K123" s="175"/>
      <c r="L123" s="175"/>
      <c r="M123" s="175"/>
      <c r="N123" s="175"/>
      <c r="O123" s="175"/>
      <c r="P123" s="175"/>
      <c r="Q123" s="175"/>
      <c r="R123" s="175"/>
      <c r="S123" s="175"/>
      <c r="T123" s="175"/>
      <c r="U123" s="175"/>
      <c r="V123" s="175"/>
      <c r="W123" s="175"/>
      <c r="X123" s="175"/>
      <c r="Y123" s="175"/>
      <c r="Z123" s="175"/>
    </row>
    <row r="124" hidden="1" outlineLevel="2">
      <c r="A124" s="175"/>
      <c r="B124" s="175"/>
      <c r="C124" s="174" t="s">
        <v>263</v>
      </c>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hidden="1" outlineLevel="2">
      <c r="A125" s="175"/>
      <c r="B125" s="174" t="s">
        <v>254</v>
      </c>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outlineLevel="1" collapsed="1">
      <c r="A126" s="175"/>
      <c r="B126" s="174" t="s">
        <v>285</v>
      </c>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hidden="1" outlineLevel="2">
      <c r="A127" s="175"/>
      <c r="B127" s="175"/>
      <c r="C127" s="174" t="s">
        <v>286</v>
      </c>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hidden="1" outlineLevel="2">
      <c r="A128" s="175"/>
      <c r="B128" s="175"/>
      <c r="C128" s="174" t="s">
        <v>258</v>
      </c>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hidden="1" outlineLevel="2">
      <c r="A129" s="175"/>
      <c r="B129" s="175"/>
      <c r="C129" s="175"/>
      <c r="D129" s="174" t="s">
        <v>259</v>
      </c>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hidden="1" outlineLevel="2">
      <c r="A130" s="175"/>
      <c r="B130" s="175"/>
      <c r="C130" s="175"/>
      <c r="D130" s="174" t="s">
        <v>260</v>
      </c>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hidden="1" outlineLevel="2">
      <c r="A131" s="175"/>
      <c r="B131" s="175"/>
      <c r="C131" s="175"/>
      <c r="D131" s="174" t="s">
        <v>284</v>
      </c>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hidden="1" outlineLevel="2">
      <c r="A132" s="175"/>
      <c r="B132" s="175"/>
      <c r="C132" s="175"/>
      <c r="D132" s="174" t="s">
        <v>249</v>
      </c>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hidden="1" outlineLevel="2">
      <c r="A133" s="175"/>
      <c r="B133" s="175"/>
      <c r="C133" s="175"/>
      <c r="D133" s="175"/>
      <c r="E133" s="174" t="s">
        <v>266</v>
      </c>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hidden="1" outlineLevel="2">
      <c r="A134" s="175"/>
      <c r="B134" s="175"/>
      <c r="C134" s="175"/>
      <c r="D134" s="175"/>
      <c r="E134" s="174" t="s">
        <v>251</v>
      </c>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hidden="1" outlineLevel="2">
      <c r="A135" s="175"/>
      <c r="B135" s="175"/>
      <c r="C135" s="175"/>
      <c r="D135" s="175"/>
      <c r="E135" s="175"/>
      <c r="F135" s="176">
        <v>-0.09</v>
      </c>
      <c r="G135" s="176">
        <v>-0.527</v>
      </c>
      <c r="H135" s="175"/>
      <c r="I135" s="175"/>
      <c r="J135" s="175"/>
      <c r="K135" s="175"/>
      <c r="L135" s="175"/>
      <c r="M135" s="175"/>
      <c r="N135" s="175"/>
      <c r="O135" s="175"/>
      <c r="P135" s="175"/>
      <c r="Q135" s="175"/>
      <c r="R135" s="175"/>
      <c r="S135" s="175"/>
      <c r="T135" s="175"/>
      <c r="U135" s="175"/>
      <c r="V135" s="175"/>
      <c r="W135" s="175"/>
      <c r="X135" s="175"/>
      <c r="Y135" s="175"/>
      <c r="Z135" s="175"/>
    </row>
    <row r="136" hidden="1" outlineLevel="2">
      <c r="A136" s="175"/>
      <c r="B136" s="175"/>
      <c r="C136" s="175"/>
      <c r="D136" s="175"/>
      <c r="E136" s="175"/>
      <c r="F136" s="176">
        <v>0.0</v>
      </c>
      <c r="G136" s="176">
        <v>-0.057</v>
      </c>
      <c r="H136" s="175"/>
      <c r="I136" s="175"/>
      <c r="J136" s="175"/>
      <c r="K136" s="175"/>
      <c r="L136" s="175"/>
      <c r="M136" s="175"/>
      <c r="N136" s="175"/>
      <c r="O136" s="175"/>
      <c r="P136" s="175"/>
      <c r="Q136" s="175"/>
      <c r="R136" s="175"/>
      <c r="S136" s="175"/>
      <c r="T136" s="175"/>
      <c r="U136" s="175"/>
      <c r="V136" s="175"/>
      <c r="W136" s="175"/>
      <c r="X136" s="175"/>
      <c r="Y136" s="175"/>
      <c r="Z136" s="175"/>
    </row>
    <row r="137" hidden="1" outlineLevel="2">
      <c r="A137" s="175"/>
      <c r="B137" s="175"/>
      <c r="C137" s="175"/>
      <c r="D137" s="175"/>
      <c r="E137" s="175"/>
      <c r="F137" s="176">
        <v>0.14</v>
      </c>
      <c r="G137" s="176">
        <v>0.713</v>
      </c>
      <c r="H137" s="175"/>
      <c r="I137" s="175"/>
      <c r="J137" s="175"/>
      <c r="K137" s="175"/>
      <c r="L137" s="175"/>
      <c r="M137" s="175"/>
      <c r="N137" s="175"/>
      <c r="O137" s="175"/>
      <c r="P137" s="175"/>
      <c r="Q137" s="175"/>
      <c r="R137" s="175"/>
      <c r="S137" s="175"/>
      <c r="T137" s="175"/>
      <c r="U137" s="175"/>
      <c r="V137" s="175"/>
      <c r="W137" s="175"/>
      <c r="X137" s="175"/>
      <c r="Y137" s="175"/>
      <c r="Z137" s="175"/>
    </row>
    <row r="138" hidden="1" outlineLevel="2">
      <c r="A138" s="175"/>
      <c r="B138" s="175"/>
      <c r="C138" s="175"/>
      <c r="D138" s="175"/>
      <c r="E138" s="175"/>
      <c r="F138" s="176">
        <v>0.21</v>
      </c>
      <c r="G138" s="176">
        <v>0.945</v>
      </c>
      <c r="H138" s="175"/>
      <c r="I138" s="175"/>
      <c r="J138" s="175"/>
      <c r="K138" s="175"/>
      <c r="L138" s="175"/>
      <c r="M138" s="175"/>
      <c r="N138" s="175"/>
      <c r="O138" s="175"/>
      <c r="P138" s="175"/>
      <c r="Q138" s="175"/>
      <c r="R138" s="175"/>
      <c r="S138" s="175"/>
      <c r="T138" s="175"/>
      <c r="U138" s="175"/>
      <c r="V138" s="175"/>
      <c r="W138" s="175"/>
      <c r="X138" s="175"/>
      <c r="Y138" s="175"/>
      <c r="Z138" s="175"/>
    </row>
    <row r="139" hidden="1" outlineLevel="2">
      <c r="A139" s="175"/>
      <c r="B139" s="175"/>
      <c r="C139" s="175"/>
      <c r="D139" s="175"/>
      <c r="E139" s="175"/>
      <c r="F139" s="176">
        <v>0.24</v>
      </c>
      <c r="G139" s="176">
        <v>1.047</v>
      </c>
      <c r="H139" s="175"/>
      <c r="I139" s="175"/>
      <c r="J139" s="175"/>
      <c r="K139" s="175"/>
      <c r="L139" s="175"/>
      <c r="M139" s="175"/>
      <c r="N139" s="175"/>
      <c r="O139" s="175"/>
      <c r="P139" s="175"/>
      <c r="Q139" s="175"/>
      <c r="R139" s="175"/>
      <c r="S139" s="175"/>
      <c r="T139" s="175"/>
      <c r="U139" s="175"/>
      <c r="V139" s="175"/>
      <c r="W139" s="175"/>
      <c r="X139" s="175"/>
      <c r="Y139" s="175"/>
      <c r="Z139" s="175"/>
    </row>
    <row r="140" hidden="1" outlineLevel="2">
      <c r="A140" s="175"/>
      <c r="B140" s="175"/>
      <c r="C140" s="175"/>
      <c r="D140" s="175"/>
      <c r="E140" s="175"/>
      <c r="F140" s="176">
        <v>0.26</v>
      </c>
      <c r="G140" s="176">
        <v>1.133</v>
      </c>
      <c r="H140" s="175"/>
      <c r="I140" s="175"/>
      <c r="J140" s="175"/>
      <c r="K140" s="175"/>
      <c r="L140" s="175"/>
      <c r="M140" s="175"/>
      <c r="N140" s="175"/>
      <c r="O140" s="175"/>
      <c r="P140" s="175"/>
      <c r="Q140" s="175"/>
      <c r="R140" s="175"/>
      <c r="S140" s="175"/>
      <c r="T140" s="175"/>
      <c r="U140" s="175"/>
      <c r="V140" s="175"/>
      <c r="W140" s="175"/>
      <c r="X140" s="175"/>
      <c r="Y140" s="175"/>
      <c r="Z140" s="175"/>
    </row>
    <row r="141" hidden="1" outlineLevel="2">
      <c r="A141" s="175"/>
      <c r="B141" s="175"/>
      <c r="C141" s="175"/>
      <c r="D141" s="175"/>
      <c r="E141" s="175"/>
      <c r="F141" s="176">
        <v>0.28</v>
      </c>
      <c r="G141" s="176">
        <v>1.159</v>
      </c>
      <c r="H141" s="175"/>
      <c r="I141" s="175"/>
      <c r="J141" s="175"/>
      <c r="K141" s="175"/>
      <c r="L141" s="175"/>
      <c r="M141" s="175"/>
      <c r="N141" s="175"/>
      <c r="O141" s="175"/>
      <c r="P141" s="175"/>
      <c r="Q141" s="175"/>
      <c r="R141" s="175"/>
      <c r="S141" s="175"/>
      <c r="T141" s="175"/>
      <c r="U141" s="175"/>
      <c r="V141" s="175"/>
      <c r="W141" s="175"/>
      <c r="X141" s="175"/>
      <c r="Y141" s="175"/>
      <c r="Z141" s="175"/>
    </row>
    <row r="142" hidden="1" outlineLevel="2">
      <c r="A142" s="175"/>
      <c r="B142" s="175"/>
      <c r="C142" s="175"/>
      <c r="D142" s="175"/>
      <c r="E142" s="175"/>
      <c r="F142" s="176">
        <v>0.3</v>
      </c>
      <c r="G142" s="176">
        <v>1.125</v>
      </c>
      <c r="H142" s="175"/>
      <c r="I142" s="175"/>
      <c r="J142" s="175"/>
      <c r="K142" s="175"/>
      <c r="L142" s="175"/>
      <c r="M142" s="175"/>
      <c r="N142" s="175"/>
      <c r="O142" s="175"/>
      <c r="P142" s="175"/>
      <c r="Q142" s="175"/>
      <c r="R142" s="175"/>
      <c r="S142" s="175"/>
      <c r="T142" s="175"/>
      <c r="U142" s="175"/>
      <c r="V142" s="175"/>
      <c r="W142" s="175"/>
      <c r="X142" s="175"/>
      <c r="Y142" s="175"/>
      <c r="Z142" s="175"/>
    </row>
    <row r="143" hidden="1" outlineLevel="2">
      <c r="A143" s="175"/>
      <c r="B143" s="175"/>
      <c r="C143" s="175"/>
      <c r="D143" s="175"/>
      <c r="E143" s="175"/>
      <c r="F143" s="176">
        <v>0.32</v>
      </c>
      <c r="G143" s="176">
        <v>1.074</v>
      </c>
      <c r="H143" s="175"/>
      <c r="I143" s="175"/>
      <c r="J143" s="175"/>
      <c r="K143" s="175"/>
      <c r="L143" s="175"/>
      <c r="M143" s="175"/>
      <c r="N143" s="175"/>
      <c r="O143" s="175"/>
      <c r="P143" s="175"/>
      <c r="Q143" s="175"/>
      <c r="R143" s="175"/>
      <c r="S143" s="175"/>
      <c r="T143" s="175"/>
      <c r="U143" s="175"/>
      <c r="V143" s="175"/>
      <c r="W143" s="175"/>
      <c r="X143" s="175"/>
      <c r="Y143" s="175"/>
      <c r="Z143" s="175"/>
    </row>
    <row r="144" hidden="1" outlineLevel="2">
      <c r="A144" s="175"/>
      <c r="B144" s="175"/>
      <c r="C144" s="175"/>
      <c r="D144" s="175"/>
      <c r="E144" s="175"/>
      <c r="F144" s="176">
        <v>0.34</v>
      </c>
      <c r="G144" s="176">
        <v>0.991</v>
      </c>
      <c r="H144" s="175"/>
      <c r="I144" s="175"/>
      <c r="J144" s="175"/>
      <c r="K144" s="175"/>
      <c r="L144" s="175"/>
      <c r="M144" s="175"/>
      <c r="N144" s="175"/>
      <c r="O144" s="175"/>
      <c r="P144" s="175"/>
      <c r="Q144" s="175"/>
      <c r="R144" s="175"/>
      <c r="S144" s="175"/>
      <c r="T144" s="175"/>
      <c r="U144" s="175"/>
      <c r="V144" s="175"/>
      <c r="W144" s="175"/>
      <c r="X144" s="175"/>
      <c r="Y144" s="175"/>
      <c r="Z144" s="175"/>
    </row>
    <row r="145" hidden="1" outlineLevel="2">
      <c r="A145" s="175"/>
      <c r="B145" s="175"/>
      <c r="C145" s="175"/>
      <c r="D145" s="175"/>
      <c r="E145" s="175"/>
      <c r="F145" s="176">
        <v>0.36</v>
      </c>
      <c r="G145" s="176">
        <v>0.663</v>
      </c>
      <c r="H145" s="175"/>
      <c r="I145" s="175"/>
      <c r="J145" s="175"/>
      <c r="K145" s="175"/>
      <c r="L145" s="175"/>
      <c r="M145" s="175"/>
      <c r="N145" s="175"/>
      <c r="O145" s="175"/>
      <c r="P145" s="175"/>
      <c r="Q145" s="175"/>
      <c r="R145" s="175"/>
      <c r="S145" s="175"/>
      <c r="T145" s="175"/>
      <c r="U145" s="175"/>
      <c r="V145" s="175"/>
      <c r="W145" s="175"/>
      <c r="X145" s="175"/>
      <c r="Y145" s="175"/>
      <c r="Z145" s="175"/>
    </row>
    <row r="146" hidden="1" outlineLevel="2">
      <c r="A146" s="175"/>
      <c r="B146" s="175"/>
      <c r="C146" s="175"/>
      <c r="D146" s="175"/>
      <c r="E146" s="174" t="s">
        <v>252</v>
      </c>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hidden="1" outlineLevel="2">
      <c r="A147" s="175"/>
      <c r="B147" s="175"/>
      <c r="C147" s="175"/>
      <c r="D147" s="174" t="s">
        <v>253</v>
      </c>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hidden="1" outlineLevel="2">
      <c r="A148" s="175"/>
      <c r="B148" s="175"/>
      <c r="C148" s="174" t="s">
        <v>263</v>
      </c>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hidden="1" outlineLevel="2">
      <c r="A149" s="174"/>
      <c r="B149" s="174" t="s">
        <v>254</v>
      </c>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outlineLevel="1">
      <c r="A150" s="174"/>
      <c r="B150" s="174" t="s">
        <v>287</v>
      </c>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outlineLevel="2">
      <c r="A151" s="174"/>
      <c r="B151" s="174"/>
      <c r="C151" s="174" t="s">
        <v>288</v>
      </c>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outlineLevel="2">
      <c r="A152" s="174"/>
      <c r="B152" s="174"/>
      <c r="C152" s="174" t="s">
        <v>258</v>
      </c>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outlineLevel="2">
      <c r="A153" s="174"/>
      <c r="B153" s="174"/>
      <c r="C153" s="175"/>
      <c r="D153" s="174" t="s">
        <v>259</v>
      </c>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outlineLevel="2">
      <c r="A154" s="174"/>
      <c r="B154" s="174"/>
      <c r="C154" s="175"/>
      <c r="D154" s="174" t="s">
        <v>260</v>
      </c>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outlineLevel="2">
      <c r="A155" s="174"/>
      <c r="B155" s="174"/>
      <c r="C155" s="175"/>
      <c r="D155" s="174" t="s">
        <v>284</v>
      </c>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outlineLevel="2">
      <c r="A156" s="174"/>
      <c r="B156" s="174"/>
      <c r="C156" s="175"/>
      <c r="D156" s="174" t="s">
        <v>249</v>
      </c>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outlineLevel="2">
      <c r="A157" s="174"/>
      <c r="B157" s="174"/>
      <c r="C157" s="175"/>
      <c r="D157" s="175"/>
      <c r="E157" s="174" t="s">
        <v>289</v>
      </c>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outlineLevel="2">
      <c r="A158" s="174"/>
      <c r="B158" s="174"/>
      <c r="C158" s="175"/>
      <c r="D158" s="175"/>
      <c r="E158" s="174" t="s">
        <v>251</v>
      </c>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outlineLevel="2">
      <c r="A159" s="174"/>
      <c r="B159" s="174"/>
      <c r="C159" s="175"/>
      <c r="D159" s="175"/>
      <c r="E159" s="175"/>
      <c r="F159" s="176">
        <v>0.0</v>
      </c>
      <c r="G159" s="176">
        <v>0.0</v>
      </c>
      <c r="H159" s="175"/>
      <c r="I159" s="175"/>
      <c r="J159" s="175"/>
      <c r="K159" s="175"/>
      <c r="L159" s="175"/>
      <c r="M159" s="175"/>
      <c r="N159" s="175"/>
      <c r="O159" s="175"/>
      <c r="P159" s="175"/>
      <c r="Q159" s="175"/>
      <c r="R159" s="175"/>
      <c r="S159" s="175"/>
      <c r="T159" s="175"/>
      <c r="U159" s="175"/>
      <c r="V159" s="175"/>
      <c r="W159" s="175"/>
      <c r="X159" s="175"/>
      <c r="Y159" s="175"/>
      <c r="Z159" s="175"/>
    </row>
    <row r="160" outlineLevel="2">
      <c r="A160" s="175"/>
      <c r="B160" s="175"/>
      <c r="C160" s="175"/>
      <c r="D160" s="175"/>
      <c r="E160" s="175"/>
      <c r="F160" s="176">
        <v>10.0</v>
      </c>
      <c r="G160" s="176">
        <v>0.4</v>
      </c>
      <c r="H160" s="175"/>
      <c r="I160" s="175"/>
      <c r="J160" s="175"/>
      <c r="K160" s="175"/>
      <c r="L160" s="175"/>
      <c r="M160" s="175"/>
      <c r="N160" s="175"/>
      <c r="O160" s="175"/>
      <c r="P160" s="175"/>
      <c r="Q160" s="175"/>
      <c r="R160" s="175"/>
      <c r="S160" s="175"/>
      <c r="T160" s="175"/>
      <c r="U160" s="175"/>
      <c r="V160" s="175"/>
      <c r="W160" s="175"/>
      <c r="X160" s="175"/>
      <c r="Y160" s="175"/>
      <c r="Z160" s="175"/>
    </row>
    <row r="161" outlineLevel="2">
      <c r="A161" s="175"/>
      <c r="B161" s="175"/>
      <c r="C161" s="175"/>
      <c r="D161" s="175"/>
      <c r="E161" s="175"/>
      <c r="F161" s="176">
        <v>20.0</v>
      </c>
      <c r="G161" s="176">
        <v>0.84</v>
      </c>
      <c r="H161" s="175"/>
      <c r="I161" s="175"/>
      <c r="J161" s="175"/>
      <c r="K161" s="175"/>
      <c r="L161" s="175"/>
      <c r="M161" s="175"/>
      <c r="N161" s="175"/>
      <c r="O161" s="175"/>
      <c r="P161" s="175"/>
      <c r="Q161" s="175"/>
      <c r="R161" s="175"/>
      <c r="S161" s="175"/>
      <c r="T161" s="175"/>
      <c r="U161" s="175"/>
      <c r="V161" s="175"/>
      <c r="W161" s="175"/>
      <c r="X161" s="175"/>
      <c r="Y161" s="175"/>
      <c r="Z161" s="175"/>
    </row>
    <row r="162" outlineLevel="2">
      <c r="A162" s="175"/>
      <c r="B162" s="175"/>
      <c r="C162" s="175"/>
      <c r="D162" s="175"/>
      <c r="E162" s="175"/>
      <c r="F162" s="176">
        <v>30.0</v>
      </c>
      <c r="G162" s="176">
        <v>1.29</v>
      </c>
      <c r="H162" s="175"/>
      <c r="I162" s="175"/>
      <c r="J162" s="175"/>
      <c r="K162" s="175"/>
      <c r="L162" s="175"/>
      <c r="M162" s="175"/>
      <c r="N162" s="175"/>
      <c r="O162" s="175"/>
      <c r="P162" s="175"/>
      <c r="Q162" s="175"/>
      <c r="R162" s="175"/>
      <c r="S162" s="175"/>
      <c r="T162" s="175"/>
      <c r="U162" s="175"/>
      <c r="V162" s="175"/>
      <c r="W162" s="175"/>
      <c r="X162" s="175"/>
      <c r="Y162" s="175"/>
      <c r="Z162" s="175"/>
    </row>
    <row r="163" outlineLevel="2">
      <c r="A163" s="175"/>
      <c r="B163" s="175"/>
      <c r="C163" s="175"/>
      <c r="D163" s="175"/>
      <c r="E163" s="174" t="s">
        <v>252</v>
      </c>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outlineLevel="2">
      <c r="A164" s="175"/>
      <c r="B164" s="175"/>
      <c r="C164" s="175"/>
      <c r="D164" s="174" t="s">
        <v>253</v>
      </c>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outlineLevel="2">
      <c r="A165" s="175"/>
      <c r="B165" s="175"/>
      <c r="C165" s="174" t="s">
        <v>263</v>
      </c>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outlineLevel="2">
      <c r="A166" s="175"/>
      <c r="B166" s="174" t="s">
        <v>254</v>
      </c>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outlineLevel="1" collapsed="1">
      <c r="A167" s="175"/>
      <c r="B167" s="174" t="s">
        <v>290</v>
      </c>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hidden="1" outlineLevel="2">
      <c r="A168" s="175"/>
      <c r="B168" s="175"/>
      <c r="C168" s="174" t="s">
        <v>291</v>
      </c>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hidden="1" outlineLevel="2">
      <c r="A169" s="175"/>
      <c r="B169" s="175"/>
      <c r="C169" s="174" t="s">
        <v>258</v>
      </c>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hidden="1" outlineLevel="2">
      <c r="A170" s="175"/>
      <c r="B170" s="175"/>
      <c r="C170" s="175"/>
      <c r="D170" s="174" t="s">
        <v>259</v>
      </c>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hidden="1" outlineLevel="2">
      <c r="A171" s="175"/>
      <c r="B171" s="175"/>
      <c r="C171" s="175"/>
      <c r="D171" s="174" t="s">
        <v>260</v>
      </c>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hidden="1" outlineLevel="2">
      <c r="A172" s="175"/>
      <c r="B172" s="175"/>
      <c r="C172" s="175"/>
      <c r="D172" s="174" t="s">
        <v>292</v>
      </c>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hidden="1" outlineLevel="2">
      <c r="A173" s="174"/>
      <c r="B173" s="174"/>
      <c r="C173" s="175"/>
      <c r="D173" s="174" t="s">
        <v>293</v>
      </c>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hidden="1" outlineLevel="2">
      <c r="A174" s="174"/>
      <c r="B174" s="174"/>
      <c r="C174" s="175"/>
      <c r="D174" s="174" t="s">
        <v>261</v>
      </c>
      <c r="E174" s="179">
        <f>Calculation!$I$46</f>
        <v>2.015918315</v>
      </c>
      <c r="F174" s="174" t="s">
        <v>262</v>
      </c>
      <c r="G174" s="175"/>
      <c r="H174" s="175"/>
      <c r="I174" s="175"/>
      <c r="J174" s="175"/>
      <c r="K174" s="175"/>
      <c r="L174" s="175"/>
      <c r="M174" s="175"/>
      <c r="N174" s="175"/>
      <c r="O174" s="175"/>
      <c r="P174" s="175"/>
      <c r="Q174" s="175"/>
      <c r="R174" s="175"/>
      <c r="S174" s="175"/>
      <c r="T174" s="175"/>
      <c r="U174" s="175"/>
      <c r="V174" s="175"/>
      <c r="W174" s="175"/>
      <c r="X174" s="175"/>
      <c r="Y174" s="175"/>
      <c r="Z174" s="175"/>
    </row>
    <row r="175" hidden="1" outlineLevel="2">
      <c r="A175" s="174"/>
      <c r="B175" s="174"/>
      <c r="C175" s="174" t="s">
        <v>263</v>
      </c>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hidden="1" outlineLevel="2">
      <c r="A176" s="174"/>
      <c r="B176" s="174" t="s">
        <v>254</v>
      </c>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outlineLevel="1" collapsed="1">
      <c r="A177" s="175"/>
      <c r="B177" s="174" t="s">
        <v>294</v>
      </c>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hidden="1" outlineLevel="2">
      <c r="A178" s="175"/>
      <c r="B178" s="175"/>
      <c r="C178" s="174" t="s">
        <v>295</v>
      </c>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hidden="1" outlineLevel="2">
      <c r="A179" s="175"/>
      <c r="B179" s="175"/>
      <c r="C179" s="174" t="s">
        <v>258</v>
      </c>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hidden="1" outlineLevel="2">
      <c r="A180" s="175"/>
      <c r="B180" s="175"/>
      <c r="C180" s="175"/>
      <c r="D180" s="174" t="s">
        <v>259</v>
      </c>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hidden="1" outlineLevel="2">
      <c r="A181" s="175"/>
      <c r="B181" s="175"/>
      <c r="C181" s="175"/>
      <c r="D181" s="174" t="s">
        <v>260</v>
      </c>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hidden="1" outlineLevel="2">
      <c r="A182" s="175"/>
      <c r="B182" s="175"/>
      <c r="C182" s="175"/>
      <c r="D182" s="174" t="s">
        <v>293</v>
      </c>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hidden="1" outlineLevel="2">
      <c r="A183" s="175"/>
      <c r="B183" s="175"/>
      <c r="C183" s="175"/>
      <c r="D183" s="174" t="s">
        <v>296</v>
      </c>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hidden="1" outlineLevel="2">
      <c r="A184" s="175"/>
      <c r="B184" s="175"/>
      <c r="C184" s="175"/>
      <c r="D184" s="174" t="s">
        <v>261</v>
      </c>
      <c r="E184" s="179">
        <f>Calculation!$I$49</f>
        <v>6.602441691</v>
      </c>
      <c r="F184" s="174" t="s">
        <v>262</v>
      </c>
      <c r="G184" s="175"/>
      <c r="H184" s="175"/>
      <c r="I184" s="175"/>
      <c r="J184" s="175"/>
      <c r="K184" s="175"/>
      <c r="L184" s="175"/>
      <c r="M184" s="175"/>
      <c r="N184" s="175"/>
      <c r="O184" s="175"/>
      <c r="P184" s="175"/>
      <c r="Q184" s="175"/>
      <c r="R184" s="175"/>
      <c r="S184" s="175"/>
      <c r="T184" s="175"/>
      <c r="U184" s="175"/>
      <c r="V184" s="175"/>
      <c r="W184" s="175"/>
      <c r="X184" s="175"/>
      <c r="Y184" s="175"/>
      <c r="Z184" s="175"/>
    </row>
    <row r="185" hidden="1" outlineLevel="2">
      <c r="A185" s="175"/>
      <c r="B185" s="175"/>
      <c r="C185" s="174" t="s">
        <v>263</v>
      </c>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hidden="1" outlineLevel="2">
      <c r="A186" s="175"/>
      <c r="B186" s="174" t="s">
        <v>254</v>
      </c>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outlineLevel="1" collapsed="1">
      <c r="A187" s="175"/>
      <c r="B187" s="174" t="s">
        <v>297</v>
      </c>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hidden="1" outlineLevel="2">
      <c r="A188" s="175"/>
      <c r="B188" s="175"/>
      <c r="C188" s="174" t="s">
        <v>298</v>
      </c>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hidden="1" outlineLevel="2">
      <c r="A189" s="175"/>
      <c r="B189" s="175"/>
      <c r="C189" s="174" t="s">
        <v>258</v>
      </c>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hidden="1" outlineLevel="2">
      <c r="A190" s="175"/>
      <c r="B190" s="175"/>
      <c r="C190" s="175"/>
      <c r="D190" s="174" t="s">
        <v>259</v>
      </c>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hidden="1" outlineLevel="2">
      <c r="A191" s="175"/>
      <c r="B191" s="175"/>
      <c r="C191" s="175"/>
      <c r="D191" s="174" t="s">
        <v>260</v>
      </c>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hidden="1" outlineLevel="2">
      <c r="A192" s="175"/>
      <c r="B192" s="175"/>
      <c r="C192" s="175"/>
      <c r="D192" s="174" t="s">
        <v>299</v>
      </c>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hidden="1" outlineLevel="2">
      <c r="A193" s="175"/>
      <c r="B193" s="175"/>
      <c r="C193" s="175"/>
      <c r="D193" s="174" t="s">
        <v>261</v>
      </c>
      <c r="E193" s="179">
        <f>Calculation!$I$53</f>
        <v>0.4154081633</v>
      </c>
      <c r="F193" s="174" t="s">
        <v>262</v>
      </c>
      <c r="G193" s="175"/>
      <c r="H193" s="175"/>
      <c r="I193" s="175"/>
      <c r="J193" s="175"/>
      <c r="K193" s="175"/>
      <c r="L193" s="175"/>
      <c r="M193" s="175"/>
      <c r="N193" s="175"/>
      <c r="O193" s="175"/>
      <c r="P193" s="175"/>
      <c r="Q193" s="175"/>
      <c r="R193" s="175"/>
      <c r="S193" s="175"/>
      <c r="T193" s="175"/>
      <c r="U193" s="175"/>
      <c r="V193" s="175"/>
      <c r="W193" s="175"/>
      <c r="X193" s="175"/>
      <c r="Y193" s="175"/>
      <c r="Z193" s="175"/>
    </row>
    <row r="194" hidden="1" outlineLevel="2">
      <c r="A194" s="175"/>
      <c r="B194" s="175"/>
      <c r="C194" s="174" t="s">
        <v>263</v>
      </c>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hidden="1" outlineLevel="2">
      <c r="A195" s="175"/>
      <c r="B195" s="174" t="s">
        <v>254</v>
      </c>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outlineLevel="1" collapsed="1">
      <c r="A196" s="175"/>
      <c r="B196" s="174" t="s">
        <v>300</v>
      </c>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hidden="1" outlineLevel="2">
      <c r="A197" s="175"/>
      <c r="B197" s="174"/>
      <c r="C197" s="174" t="s">
        <v>301</v>
      </c>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hidden="1" outlineLevel="2">
      <c r="A198" s="175"/>
      <c r="B198" s="174"/>
      <c r="C198" s="174" t="s">
        <v>258</v>
      </c>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hidden="1" outlineLevel="2">
      <c r="A199" s="175"/>
      <c r="B199" s="174"/>
      <c r="C199" s="175"/>
      <c r="D199" s="174" t="s">
        <v>259</v>
      </c>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hidden="1" outlineLevel="2">
      <c r="A200" s="175"/>
      <c r="B200" s="174"/>
      <c r="C200" s="175"/>
      <c r="D200" s="174" t="s">
        <v>260</v>
      </c>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hidden="1" outlineLevel="2">
      <c r="A201" s="175"/>
      <c r="B201" s="174"/>
      <c r="C201" s="175"/>
      <c r="D201" s="174" t="s">
        <v>279</v>
      </c>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hidden="1" outlineLevel="2">
      <c r="A202" s="175"/>
      <c r="B202" s="174"/>
      <c r="C202" s="175"/>
      <c r="D202" s="174" t="s">
        <v>261</v>
      </c>
      <c r="E202" s="179">
        <f>Calculation!I125</f>
        <v>-0.0890625</v>
      </c>
      <c r="F202" s="174" t="s">
        <v>262</v>
      </c>
      <c r="G202" s="175"/>
      <c r="H202" s="175"/>
      <c r="I202" s="175"/>
      <c r="J202" s="175"/>
      <c r="K202" s="175"/>
      <c r="L202" s="175"/>
      <c r="M202" s="175"/>
      <c r="N202" s="175"/>
      <c r="O202" s="175"/>
      <c r="P202" s="175"/>
      <c r="Q202" s="175"/>
      <c r="R202" s="175"/>
      <c r="S202" s="175"/>
      <c r="T202" s="175"/>
      <c r="U202" s="175"/>
      <c r="V202" s="175"/>
      <c r="W202" s="175"/>
      <c r="X202" s="175"/>
      <c r="Y202" s="175"/>
      <c r="Z202" s="175"/>
    </row>
    <row r="203" hidden="1" outlineLevel="2">
      <c r="A203" s="175"/>
      <c r="B203" s="175"/>
      <c r="C203" s="174" t="s">
        <v>263</v>
      </c>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hidden="1" outlineLevel="2">
      <c r="A204" s="175"/>
      <c r="B204" s="174" t="s">
        <v>254</v>
      </c>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outlineLevel="1">
      <c r="A205" s="177" t="s">
        <v>280</v>
      </c>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c r="Y205" s="178"/>
      <c r="Z205" s="178"/>
    </row>
    <row r="20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c r="A207" s="177" t="s">
        <v>302</v>
      </c>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c r="Y207" s="178"/>
      <c r="Z207" s="178"/>
    </row>
    <row r="208" outlineLevel="1" collapsed="1">
      <c r="A208" s="175"/>
      <c r="B208" s="174" t="s">
        <v>303</v>
      </c>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hidden="1" outlineLevel="2">
      <c r="A209" s="175"/>
      <c r="B209" s="175"/>
      <c r="C209" s="174" t="s">
        <v>304</v>
      </c>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hidden="1" outlineLevel="2">
      <c r="A210" s="175"/>
      <c r="B210" s="175"/>
      <c r="C210" s="174" t="s">
        <v>258</v>
      </c>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hidden="1" outlineLevel="2">
      <c r="A211" s="175"/>
      <c r="B211" s="175"/>
      <c r="C211" s="175"/>
      <c r="D211" s="174" t="s">
        <v>259</v>
      </c>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hidden="1" outlineLevel="2">
      <c r="A212" s="175"/>
      <c r="B212" s="175"/>
      <c r="C212" s="175"/>
      <c r="D212" s="174" t="s">
        <v>260</v>
      </c>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hidden="1" outlineLevel="2">
      <c r="A213" s="175"/>
      <c r="B213" s="175"/>
      <c r="C213" s="175"/>
      <c r="D213" s="174" t="s">
        <v>305</v>
      </c>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hidden="1" outlineLevel="2">
      <c r="A214" s="175"/>
      <c r="B214" s="175"/>
      <c r="C214" s="175"/>
      <c r="D214" s="174" t="s">
        <v>261</v>
      </c>
      <c r="E214" s="179">
        <f>Calculation!$I$56</f>
        <v>-0.2</v>
      </c>
      <c r="F214" s="174" t="s">
        <v>262</v>
      </c>
      <c r="G214" s="175"/>
      <c r="H214" s="175"/>
      <c r="I214" s="175"/>
      <c r="J214" s="175"/>
      <c r="K214" s="175"/>
      <c r="L214" s="175"/>
      <c r="M214" s="175"/>
      <c r="N214" s="175"/>
      <c r="O214" s="175"/>
      <c r="P214" s="175"/>
      <c r="Q214" s="175"/>
      <c r="R214" s="175"/>
      <c r="S214" s="175"/>
      <c r="T214" s="175"/>
      <c r="U214" s="175"/>
      <c r="V214" s="175"/>
      <c r="W214" s="175"/>
      <c r="X214" s="175"/>
      <c r="Y214" s="175"/>
      <c r="Z214" s="175"/>
    </row>
    <row r="215" hidden="1" outlineLevel="2">
      <c r="A215" s="174"/>
      <c r="B215" s="175"/>
      <c r="C215" s="174" t="s">
        <v>263</v>
      </c>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hidden="1" outlineLevel="2">
      <c r="A216" s="174"/>
      <c r="B216" s="174" t="s">
        <v>254</v>
      </c>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outlineLevel="1" collapsed="1">
      <c r="A217" s="175"/>
      <c r="B217" s="174" t="s">
        <v>306</v>
      </c>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hidden="1" outlineLevel="2">
      <c r="A218" s="175"/>
      <c r="B218" s="175"/>
      <c r="C218" s="174" t="s">
        <v>307</v>
      </c>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hidden="1" outlineLevel="2">
      <c r="A219" s="175"/>
      <c r="B219" s="175"/>
      <c r="C219" s="174" t="s">
        <v>258</v>
      </c>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hidden="1" outlineLevel="2">
      <c r="A220" s="175"/>
      <c r="B220" s="175"/>
      <c r="C220" s="175"/>
      <c r="D220" s="174" t="s">
        <v>259</v>
      </c>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hidden="1" outlineLevel="2">
      <c r="A221" s="175"/>
      <c r="B221" s="175"/>
      <c r="C221" s="175"/>
      <c r="D221" s="174" t="s">
        <v>260</v>
      </c>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hidden="1" outlineLevel="2">
      <c r="A222" s="175"/>
      <c r="B222" s="175"/>
      <c r="C222" s="175"/>
      <c r="D222" s="174" t="s">
        <v>308</v>
      </c>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hidden="1" outlineLevel="2">
      <c r="A223" s="175"/>
      <c r="B223" s="175"/>
      <c r="C223" s="175"/>
      <c r="D223" s="174" t="s">
        <v>309</v>
      </c>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hidden="1" outlineLevel="2">
      <c r="A224" s="175"/>
      <c r="B224" s="175"/>
      <c r="C224" s="175"/>
      <c r="D224" s="174" t="s">
        <v>261</v>
      </c>
      <c r="E224" s="179">
        <f>Calculation!I59</f>
        <v>0.1439196723</v>
      </c>
      <c r="F224" s="174" t="s">
        <v>262</v>
      </c>
      <c r="G224" s="175"/>
      <c r="H224" s="175"/>
      <c r="I224" s="175"/>
      <c r="J224" s="175"/>
      <c r="K224" s="175"/>
      <c r="L224" s="175"/>
      <c r="M224" s="175"/>
      <c r="N224" s="175"/>
      <c r="O224" s="175"/>
      <c r="P224" s="175"/>
      <c r="Q224" s="175"/>
      <c r="R224" s="175"/>
      <c r="S224" s="175"/>
      <c r="T224" s="175"/>
      <c r="U224" s="175"/>
      <c r="V224" s="175"/>
      <c r="W224" s="175"/>
      <c r="X224" s="175"/>
      <c r="Y224" s="175"/>
      <c r="Z224" s="175"/>
    </row>
    <row r="225" hidden="1" outlineLevel="2">
      <c r="A225" s="175"/>
      <c r="B225" s="175"/>
      <c r="C225" s="174" t="s">
        <v>263</v>
      </c>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hidden="1" outlineLevel="2">
      <c r="A226" s="175"/>
      <c r="B226" s="174" t="s">
        <v>254</v>
      </c>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outlineLevel="1" collapsed="1">
      <c r="A227" s="175"/>
      <c r="B227" s="174" t="s">
        <v>310</v>
      </c>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hidden="1" outlineLevel="2">
      <c r="A228" s="175"/>
      <c r="B228" s="175"/>
      <c r="C228" s="174" t="s">
        <v>311</v>
      </c>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hidden="1" outlineLevel="2">
      <c r="A229" s="175"/>
      <c r="B229" s="175"/>
      <c r="C229" s="174" t="s">
        <v>258</v>
      </c>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hidden="1" outlineLevel="2">
      <c r="A230" s="175"/>
      <c r="B230" s="175"/>
      <c r="C230" s="175"/>
      <c r="D230" s="174" t="s">
        <v>259</v>
      </c>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hidden="1" outlineLevel="2">
      <c r="A231" s="175"/>
      <c r="B231" s="175"/>
      <c r="C231" s="175"/>
      <c r="D231" s="174" t="s">
        <v>260</v>
      </c>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hidden="1" outlineLevel="2">
      <c r="A232" s="175"/>
      <c r="B232" s="175"/>
      <c r="C232" s="175"/>
      <c r="D232" s="174" t="s">
        <v>308</v>
      </c>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hidden="1" outlineLevel="2">
      <c r="A233" s="175"/>
      <c r="B233" s="175"/>
      <c r="C233" s="175"/>
      <c r="D233" s="174" t="s">
        <v>312</v>
      </c>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hidden="1" outlineLevel="2">
      <c r="A234" s="175"/>
      <c r="B234" s="175"/>
      <c r="C234" s="175"/>
      <c r="D234" s="174" t="s">
        <v>261</v>
      </c>
      <c r="E234" s="179">
        <f>Calculation!I64</f>
        <v>0.4185131195</v>
      </c>
      <c r="F234" s="174" t="s">
        <v>262</v>
      </c>
      <c r="G234" s="175"/>
      <c r="H234" s="175"/>
      <c r="I234" s="175"/>
      <c r="J234" s="175"/>
      <c r="K234" s="175"/>
      <c r="L234" s="175"/>
      <c r="M234" s="175"/>
      <c r="N234" s="175"/>
      <c r="O234" s="175"/>
      <c r="P234" s="175"/>
      <c r="Q234" s="175"/>
      <c r="R234" s="175"/>
      <c r="S234" s="175"/>
      <c r="T234" s="175"/>
      <c r="U234" s="175"/>
      <c r="V234" s="175"/>
      <c r="W234" s="175"/>
      <c r="X234" s="175"/>
      <c r="Y234" s="175"/>
      <c r="Z234" s="175"/>
    </row>
    <row r="235" hidden="1" outlineLevel="2">
      <c r="A235" s="175"/>
      <c r="B235" s="175"/>
      <c r="C235" s="174" t="s">
        <v>263</v>
      </c>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hidden="1" outlineLevel="2">
      <c r="A236" s="175"/>
      <c r="B236" s="174" t="s">
        <v>254</v>
      </c>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outlineLevel="1" collapsed="1">
      <c r="A237" s="175"/>
      <c r="B237" s="174" t="s">
        <v>313</v>
      </c>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hidden="1" outlineLevel="2">
      <c r="A238" s="175"/>
      <c r="B238" s="175"/>
      <c r="C238" s="174" t="s">
        <v>314</v>
      </c>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hidden="1" outlineLevel="2">
      <c r="A239" s="175"/>
      <c r="B239" s="175"/>
      <c r="C239" s="174" t="s">
        <v>258</v>
      </c>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hidden="1" outlineLevel="2">
      <c r="A240" s="175"/>
      <c r="B240" s="175"/>
      <c r="C240" s="175"/>
      <c r="D240" s="174" t="s">
        <v>259</v>
      </c>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hidden="1" outlineLevel="2">
      <c r="A241" s="175"/>
      <c r="B241" s="175"/>
      <c r="C241" s="175"/>
      <c r="D241" s="174" t="s">
        <v>260</v>
      </c>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hidden="1" outlineLevel="2">
      <c r="A242" s="175"/>
      <c r="B242" s="175"/>
      <c r="C242" s="175"/>
      <c r="D242" s="174" t="s">
        <v>315</v>
      </c>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hidden="1" outlineLevel="2">
      <c r="A243" s="175"/>
      <c r="B243" s="175"/>
      <c r="C243" s="175"/>
      <c r="D243" s="174" t="s">
        <v>261</v>
      </c>
      <c r="E243" s="166">
        <v>0.0</v>
      </c>
      <c r="F243" s="174" t="s">
        <v>262</v>
      </c>
      <c r="G243" s="175"/>
      <c r="H243" s="175"/>
      <c r="I243" s="174" t="s">
        <v>316</v>
      </c>
      <c r="J243" s="175"/>
      <c r="K243" s="175"/>
      <c r="L243" s="175"/>
      <c r="M243" s="175"/>
      <c r="N243" s="175"/>
      <c r="O243" s="175"/>
      <c r="P243" s="175"/>
      <c r="Q243" s="175"/>
      <c r="R243" s="175"/>
      <c r="S243" s="175"/>
      <c r="T243" s="175"/>
      <c r="U243" s="175"/>
      <c r="V243" s="175"/>
      <c r="W243" s="175"/>
      <c r="X243" s="175"/>
      <c r="Y243" s="175"/>
      <c r="Z243" s="175"/>
    </row>
    <row r="244" hidden="1" outlineLevel="2">
      <c r="A244" s="175"/>
      <c r="B244" s="175"/>
      <c r="C244" s="174" t="s">
        <v>263</v>
      </c>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hidden="1" outlineLevel="2">
      <c r="A245" s="175"/>
      <c r="B245" s="174" t="s">
        <v>254</v>
      </c>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outlineLevel="1" collapsed="1">
      <c r="A246" s="175"/>
      <c r="B246" s="174" t="s">
        <v>317</v>
      </c>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hidden="1" outlineLevel="2">
      <c r="A247" s="175"/>
      <c r="B247" s="175"/>
      <c r="C247" s="174" t="s">
        <v>318</v>
      </c>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hidden="1" outlineLevel="2">
      <c r="A248" s="175"/>
      <c r="B248" s="175"/>
      <c r="C248" s="174" t="s">
        <v>258</v>
      </c>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hidden="1" outlineLevel="2">
      <c r="A249" s="175"/>
      <c r="B249" s="175"/>
      <c r="C249" s="175"/>
      <c r="D249" s="174" t="s">
        <v>259</v>
      </c>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hidden="1" outlineLevel="2">
      <c r="A250" s="175"/>
      <c r="B250" s="175"/>
      <c r="C250" s="175"/>
      <c r="D250" s="174" t="s">
        <v>260</v>
      </c>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hidden="1" outlineLevel="2">
      <c r="A251" s="175"/>
      <c r="B251" s="175"/>
      <c r="C251" s="175"/>
      <c r="D251" s="174" t="s">
        <v>319</v>
      </c>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hidden="1" outlineLevel="2">
      <c r="A252" s="175"/>
      <c r="B252" s="175"/>
      <c r="C252" s="175"/>
      <c r="D252" s="174" t="s">
        <v>261</v>
      </c>
      <c r="E252" s="179">
        <f>Calculation!I67</f>
        <v>0.1346938776</v>
      </c>
      <c r="F252" s="174" t="s">
        <v>262</v>
      </c>
      <c r="G252" s="175"/>
      <c r="H252" s="175"/>
      <c r="I252" s="175"/>
      <c r="J252" s="175"/>
      <c r="K252" s="175"/>
      <c r="L252" s="175"/>
      <c r="M252" s="175"/>
      <c r="N252" s="175"/>
      <c r="O252" s="175"/>
      <c r="P252" s="175"/>
      <c r="Q252" s="175"/>
      <c r="R252" s="175"/>
      <c r="S252" s="175"/>
      <c r="T252" s="175"/>
      <c r="U252" s="175"/>
      <c r="V252" s="175"/>
      <c r="W252" s="175"/>
      <c r="X252" s="175"/>
      <c r="Y252" s="175"/>
      <c r="Z252" s="175"/>
    </row>
    <row r="253" hidden="1" outlineLevel="2">
      <c r="A253" s="175"/>
      <c r="B253" s="175"/>
      <c r="C253" s="174" t="s">
        <v>263</v>
      </c>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hidden="1" outlineLevel="2">
      <c r="A254" s="175"/>
      <c r="B254" s="174" t="s">
        <v>254</v>
      </c>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outlineLevel="1">
      <c r="A255" s="177" t="s">
        <v>280</v>
      </c>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c r="Y255" s="178"/>
      <c r="Z255" s="178"/>
    </row>
    <row r="25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c r="A257" s="177" t="s">
        <v>320</v>
      </c>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c r="Y257" s="178"/>
      <c r="Z257" s="178"/>
    </row>
    <row r="258" outlineLevel="1" collapsed="1">
      <c r="A258" s="175"/>
      <c r="B258" s="174" t="s">
        <v>321</v>
      </c>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hidden="1" outlineLevel="2">
      <c r="A259" s="175"/>
      <c r="B259" s="175"/>
      <c r="C259" s="174" t="s">
        <v>322</v>
      </c>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hidden="1" outlineLevel="2">
      <c r="A260" s="175"/>
      <c r="B260" s="175"/>
      <c r="C260" s="174" t="s">
        <v>258</v>
      </c>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hidden="1" outlineLevel="2">
      <c r="A261" s="175"/>
      <c r="B261" s="175"/>
      <c r="C261" s="175"/>
      <c r="D261" s="174" t="s">
        <v>259</v>
      </c>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hidden="1" outlineLevel="2">
      <c r="A262" s="175"/>
      <c r="B262" s="175"/>
      <c r="C262" s="175"/>
      <c r="D262" s="174" t="s">
        <v>260</v>
      </c>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hidden="1" outlineLevel="2">
      <c r="A263" s="175"/>
      <c r="B263" s="175"/>
      <c r="C263" s="175"/>
      <c r="D263" s="174" t="s">
        <v>323</v>
      </c>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hidden="1" outlineLevel="2">
      <c r="A264" s="175"/>
      <c r="B264" s="175"/>
      <c r="C264" s="175"/>
      <c r="D264" s="174" t="s">
        <v>249</v>
      </c>
      <c r="E264" s="174"/>
      <c r="F264" s="174"/>
      <c r="G264" s="175"/>
      <c r="H264" s="175"/>
      <c r="I264" s="175"/>
      <c r="J264" s="175"/>
      <c r="K264" s="175"/>
      <c r="L264" s="175"/>
      <c r="M264" s="175"/>
      <c r="N264" s="175"/>
      <c r="O264" s="175"/>
      <c r="P264" s="175"/>
      <c r="Q264" s="175"/>
      <c r="R264" s="175"/>
      <c r="S264" s="175"/>
      <c r="T264" s="175"/>
      <c r="U264" s="175"/>
      <c r="V264" s="175"/>
      <c r="W264" s="175"/>
      <c r="X264" s="175"/>
      <c r="Y264" s="175"/>
      <c r="Z264" s="175"/>
    </row>
    <row r="265" hidden="1" outlineLevel="2">
      <c r="A265" s="175"/>
      <c r="B265" s="175"/>
      <c r="C265" s="175"/>
      <c r="D265" s="175"/>
      <c r="E265" s="174" t="s">
        <v>324</v>
      </c>
      <c r="F265" s="174"/>
      <c r="G265" s="175"/>
      <c r="H265" s="175"/>
      <c r="I265" s="175"/>
      <c r="J265" s="175"/>
      <c r="K265" s="175"/>
      <c r="L265" s="175"/>
      <c r="M265" s="175"/>
      <c r="N265" s="175"/>
      <c r="O265" s="175"/>
      <c r="P265" s="175"/>
      <c r="Q265" s="175"/>
      <c r="R265" s="175"/>
      <c r="S265" s="175"/>
      <c r="T265" s="175"/>
      <c r="U265" s="175"/>
      <c r="V265" s="175"/>
      <c r="W265" s="175"/>
      <c r="X265" s="175"/>
      <c r="Y265" s="175"/>
      <c r="Z265" s="175"/>
    </row>
    <row r="266" hidden="1" outlineLevel="2">
      <c r="A266" s="175"/>
      <c r="B266" s="175"/>
      <c r="C266" s="175"/>
      <c r="D266" s="175"/>
      <c r="E266" s="174" t="s">
        <v>325</v>
      </c>
      <c r="F266" s="174"/>
      <c r="G266" s="175"/>
      <c r="H266" s="175"/>
      <c r="I266" s="175"/>
      <c r="J266" s="175"/>
      <c r="K266" s="175"/>
      <c r="L266" s="175"/>
      <c r="M266" s="175"/>
      <c r="N266" s="175"/>
      <c r="O266" s="175"/>
      <c r="P266" s="175"/>
      <c r="Q266" s="175"/>
      <c r="R266" s="175"/>
      <c r="S266" s="175"/>
      <c r="T266" s="175"/>
      <c r="U266" s="175"/>
      <c r="V266" s="175"/>
      <c r="W266" s="175"/>
      <c r="X266" s="175"/>
      <c r="Y266" s="175"/>
      <c r="Z266" s="175"/>
    </row>
    <row r="267" hidden="1" outlineLevel="2">
      <c r="A267" s="175"/>
      <c r="B267" s="175"/>
      <c r="C267" s="174"/>
      <c r="D267" s="175"/>
      <c r="E267" s="174" t="s">
        <v>251</v>
      </c>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hidden="1" outlineLevel="2">
      <c r="A268" s="175"/>
      <c r="B268" s="175"/>
      <c r="C268" s="174"/>
      <c r="D268" s="175"/>
      <c r="E268" s="174"/>
      <c r="F268" s="175"/>
      <c r="G268" s="176">
        <v>0.0</v>
      </c>
      <c r="H268" s="176">
        <v>0.0943</v>
      </c>
      <c r="I268" s="175"/>
      <c r="J268" s="175"/>
      <c r="K268" s="175"/>
      <c r="L268" s="175"/>
      <c r="M268" s="175"/>
      <c r="N268" s="175"/>
      <c r="O268" s="175"/>
      <c r="P268" s="175"/>
      <c r="Q268" s="175"/>
      <c r="R268" s="175"/>
      <c r="S268" s="175"/>
      <c r="T268" s="175"/>
      <c r="U268" s="175"/>
      <c r="V268" s="175"/>
      <c r="W268" s="175"/>
      <c r="X268" s="175"/>
      <c r="Y268" s="175"/>
      <c r="Z268" s="175"/>
    </row>
    <row r="269" hidden="1" outlineLevel="2">
      <c r="A269" s="175"/>
      <c r="B269" s="175"/>
      <c r="C269" s="174"/>
      <c r="D269" s="175"/>
      <c r="E269" s="174"/>
      <c r="F269" s="176">
        <v>-0.349</v>
      </c>
      <c r="G269" s="179">
        <f>Calculation!J72</f>
        <v>-0.004976816269</v>
      </c>
      <c r="H269" s="179">
        <f>Calculation!K72</f>
        <v>-0.004777743618</v>
      </c>
      <c r="I269" s="175"/>
      <c r="J269" s="175"/>
      <c r="K269" s="175"/>
      <c r="L269" s="175"/>
      <c r="M269" s="175"/>
      <c r="N269" s="175"/>
      <c r="O269" s="175"/>
      <c r="P269" s="175"/>
      <c r="Q269" s="175"/>
      <c r="R269" s="175"/>
      <c r="S269" s="175"/>
      <c r="T269" s="175"/>
      <c r="U269" s="175"/>
      <c r="V269" s="175"/>
      <c r="W269" s="175"/>
      <c r="X269" s="175"/>
      <c r="Y269" s="175"/>
      <c r="Z269" s="175"/>
    </row>
    <row r="270" hidden="1" outlineLevel="2">
      <c r="A270" s="175"/>
      <c r="B270" s="175"/>
      <c r="C270" s="174"/>
      <c r="D270" s="175"/>
      <c r="E270" s="174"/>
      <c r="F270" s="176">
        <v>0.0</v>
      </c>
      <c r="G270" s="179">
        <f>Calculation!J73</f>
        <v>0</v>
      </c>
      <c r="H270" s="179">
        <f>Calculation!K73</f>
        <v>0</v>
      </c>
      <c r="I270" s="175"/>
      <c r="J270" s="175"/>
      <c r="K270" s="175"/>
      <c r="L270" s="175"/>
      <c r="M270" s="175"/>
      <c r="N270" s="175"/>
      <c r="O270" s="175"/>
      <c r="P270" s="175"/>
      <c r="Q270" s="175"/>
      <c r="R270" s="175"/>
      <c r="S270" s="175"/>
      <c r="T270" s="175"/>
      <c r="U270" s="175"/>
      <c r="V270" s="175"/>
      <c r="W270" s="175"/>
      <c r="X270" s="175"/>
      <c r="Y270" s="175"/>
      <c r="Z270" s="175"/>
    </row>
    <row r="271" hidden="1" outlineLevel="2">
      <c r="A271" s="175"/>
      <c r="B271" s="175"/>
      <c r="C271" s="174"/>
      <c r="D271" s="175"/>
      <c r="E271" s="174"/>
      <c r="F271" s="176">
        <v>0.349</v>
      </c>
      <c r="G271" s="179">
        <f>Calculation!J74</f>
        <v>0.004976816269</v>
      </c>
      <c r="H271" s="179">
        <f>Calculation!K74</f>
        <v>0.004777743618</v>
      </c>
      <c r="I271" s="175"/>
      <c r="J271" s="175"/>
      <c r="K271" s="175"/>
      <c r="L271" s="175"/>
      <c r="M271" s="175"/>
      <c r="N271" s="175"/>
      <c r="O271" s="175"/>
      <c r="P271" s="175"/>
      <c r="Q271" s="175"/>
      <c r="R271" s="175"/>
      <c r="S271" s="175"/>
      <c r="T271" s="175"/>
      <c r="U271" s="175"/>
      <c r="V271" s="175"/>
      <c r="W271" s="175"/>
      <c r="X271" s="175"/>
      <c r="Y271" s="175"/>
      <c r="Z271" s="175"/>
    </row>
    <row r="272" hidden="1" outlineLevel="2">
      <c r="A272" s="175"/>
      <c r="B272" s="175"/>
      <c r="C272" s="174"/>
      <c r="D272" s="175"/>
      <c r="E272" s="174" t="s">
        <v>252</v>
      </c>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hidden="1" outlineLevel="2">
      <c r="A273" s="175"/>
      <c r="B273" s="175"/>
      <c r="C273" s="174"/>
      <c r="D273" s="174" t="s">
        <v>253</v>
      </c>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hidden="1" outlineLevel="2">
      <c r="A274" s="175"/>
      <c r="B274" s="175"/>
      <c r="C274" s="174" t="s">
        <v>263</v>
      </c>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hidden="1" outlineLevel="2">
      <c r="A275" s="175"/>
      <c r="B275" s="174" t="s">
        <v>254</v>
      </c>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outlineLevel="1" collapsed="1">
      <c r="A276" s="175"/>
      <c r="B276" s="174" t="s">
        <v>326</v>
      </c>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hidden="1" outlineLevel="2">
      <c r="A277" s="175"/>
      <c r="B277" s="175"/>
      <c r="C277" s="174" t="s">
        <v>327</v>
      </c>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hidden="1" outlineLevel="2">
      <c r="A278" s="175"/>
      <c r="B278" s="175"/>
      <c r="C278" s="174" t="s">
        <v>258</v>
      </c>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hidden="1" outlineLevel="2">
      <c r="A279" s="175"/>
      <c r="B279" s="175"/>
      <c r="C279" s="175"/>
      <c r="D279" s="174" t="s">
        <v>259</v>
      </c>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hidden="1" outlineLevel="2">
      <c r="A280" s="175"/>
      <c r="B280" s="175"/>
      <c r="C280" s="175"/>
      <c r="D280" s="174" t="s">
        <v>260</v>
      </c>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hidden="1" outlineLevel="2">
      <c r="A281" s="175"/>
      <c r="B281" s="175"/>
      <c r="C281" s="175"/>
      <c r="D281" s="174" t="s">
        <v>323</v>
      </c>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hidden="1" outlineLevel="2">
      <c r="A282" s="175"/>
      <c r="B282" s="175"/>
      <c r="C282" s="175"/>
      <c r="D282" s="174" t="s">
        <v>308</v>
      </c>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hidden="1" outlineLevel="2">
      <c r="A283" s="175"/>
      <c r="B283" s="175"/>
      <c r="C283" s="175"/>
      <c r="D283" s="174" t="s">
        <v>309</v>
      </c>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hidden="1" outlineLevel="2">
      <c r="A284" s="175"/>
      <c r="B284" s="175"/>
      <c r="C284" s="175"/>
      <c r="D284" s="174" t="s">
        <v>261</v>
      </c>
      <c r="E284" s="179">
        <f>Calculation!I77</f>
        <v>-0.5</v>
      </c>
      <c r="F284" s="174" t="s">
        <v>262</v>
      </c>
      <c r="G284" s="175"/>
      <c r="H284" s="175"/>
      <c r="I284" s="175"/>
      <c r="J284" s="175"/>
      <c r="K284" s="175"/>
      <c r="L284" s="175"/>
      <c r="M284" s="175"/>
      <c r="N284" s="175"/>
      <c r="O284" s="175"/>
      <c r="P284" s="175"/>
      <c r="Q284" s="175"/>
      <c r="R284" s="175"/>
      <c r="S284" s="175"/>
      <c r="T284" s="175"/>
      <c r="U284" s="175"/>
      <c r="V284" s="175"/>
      <c r="W284" s="175"/>
      <c r="X284" s="175"/>
      <c r="Y284" s="175"/>
      <c r="Z284" s="175"/>
    </row>
    <row r="285" hidden="1" outlineLevel="2">
      <c r="A285" s="175"/>
      <c r="B285" s="175"/>
      <c r="C285" s="174" t="s">
        <v>263</v>
      </c>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hidden="1" outlineLevel="2">
      <c r="A286" s="175"/>
      <c r="B286" s="174" t="s">
        <v>254</v>
      </c>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outlineLevel="1" collapsed="1">
      <c r="A287" s="175"/>
      <c r="B287" s="174" t="s">
        <v>328</v>
      </c>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hidden="1" outlineLevel="2">
      <c r="A288" s="175"/>
      <c r="B288" s="175"/>
      <c r="C288" s="174" t="s">
        <v>329</v>
      </c>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hidden="1" outlineLevel="2">
      <c r="A289" s="175"/>
      <c r="B289" s="175"/>
      <c r="C289" s="174" t="s">
        <v>258</v>
      </c>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hidden="1" outlineLevel="2">
      <c r="A290" s="175"/>
      <c r="B290" s="175"/>
      <c r="C290" s="175"/>
      <c r="D290" s="174" t="s">
        <v>259</v>
      </c>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hidden="1" outlineLevel="2">
      <c r="A291" s="175"/>
      <c r="B291" s="175"/>
      <c r="C291" s="175"/>
      <c r="D291" s="174" t="s">
        <v>260</v>
      </c>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hidden="1" outlineLevel="2">
      <c r="A292" s="175"/>
      <c r="B292" s="175"/>
      <c r="C292" s="175"/>
      <c r="D292" s="174" t="s">
        <v>323</v>
      </c>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hidden="1" outlineLevel="2">
      <c r="A293" s="175"/>
      <c r="B293" s="175"/>
      <c r="C293" s="175"/>
      <c r="D293" s="174" t="s">
        <v>308</v>
      </c>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hidden="1" outlineLevel="2">
      <c r="A294" s="175"/>
      <c r="B294" s="175"/>
      <c r="C294" s="175"/>
      <c r="D294" s="174" t="s">
        <v>312</v>
      </c>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hidden="1" outlineLevel="2">
      <c r="A295" s="175"/>
      <c r="B295" s="175"/>
      <c r="C295" s="175"/>
      <c r="D295" s="174" t="s">
        <v>249</v>
      </c>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hidden="1" outlineLevel="2">
      <c r="A296" s="175"/>
      <c r="B296" s="175"/>
      <c r="C296" s="175"/>
      <c r="D296" s="175"/>
      <c r="E296" s="174" t="s">
        <v>266</v>
      </c>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hidden="1" outlineLevel="2">
      <c r="A297" s="175"/>
      <c r="B297" s="175"/>
      <c r="C297" s="175"/>
      <c r="D297" s="175"/>
      <c r="E297" s="174" t="s">
        <v>251</v>
      </c>
      <c r="F297" s="176"/>
      <c r="G297" s="176"/>
      <c r="H297" s="175"/>
      <c r="I297" s="175"/>
      <c r="J297" s="175"/>
      <c r="K297" s="175"/>
      <c r="L297" s="175"/>
      <c r="M297" s="175"/>
      <c r="N297" s="175"/>
      <c r="O297" s="175"/>
      <c r="P297" s="175"/>
      <c r="Q297" s="175"/>
      <c r="R297" s="175"/>
      <c r="S297" s="175"/>
      <c r="T297" s="175"/>
      <c r="U297" s="175"/>
      <c r="V297" s="175"/>
      <c r="W297" s="175"/>
      <c r="X297" s="175"/>
      <c r="Y297" s="175"/>
      <c r="Z297" s="175"/>
    </row>
    <row r="298" hidden="1" outlineLevel="2">
      <c r="A298" s="175"/>
      <c r="B298" s="175"/>
      <c r="C298" s="175"/>
      <c r="D298" s="175"/>
      <c r="E298" s="175"/>
      <c r="F298" s="176">
        <v>0.0</v>
      </c>
      <c r="G298" s="176">
        <v>0.0798</v>
      </c>
      <c r="H298" s="175"/>
      <c r="I298" s="175"/>
      <c r="J298" s="175"/>
      <c r="K298" s="175"/>
      <c r="L298" s="175"/>
      <c r="M298" s="175"/>
      <c r="N298" s="175"/>
      <c r="O298" s="175"/>
      <c r="P298" s="175"/>
      <c r="Q298" s="175"/>
      <c r="R298" s="175"/>
      <c r="S298" s="175"/>
      <c r="T298" s="175"/>
      <c r="U298" s="175"/>
      <c r="V298" s="175"/>
      <c r="W298" s="175"/>
      <c r="X298" s="175"/>
      <c r="Y298" s="175"/>
      <c r="Z298" s="175"/>
    </row>
    <row r="299" hidden="1" outlineLevel="2">
      <c r="A299" s="175"/>
      <c r="B299" s="175"/>
      <c r="C299" s="175"/>
      <c r="D299" s="175"/>
      <c r="E299" s="175"/>
      <c r="F299" s="176">
        <v>0.0943</v>
      </c>
      <c r="G299" s="176">
        <v>0.1869</v>
      </c>
      <c r="H299" s="175"/>
      <c r="I299" s="175"/>
      <c r="J299" s="175"/>
      <c r="K299" s="175"/>
      <c r="L299" s="175"/>
      <c r="M299" s="175"/>
      <c r="N299" s="175"/>
      <c r="O299" s="175"/>
      <c r="P299" s="175"/>
      <c r="Q299" s="175"/>
      <c r="R299" s="175"/>
      <c r="S299" s="175"/>
      <c r="T299" s="175"/>
      <c r="U299" s="175"/>
      <c r="V299" s="175"/>
      <c r="W299" s="175"/>
      <c r="X299" s="175"/>
      <c r="Y299" s="175"/>
      <c r="Z299" s="175"/>
    </row>
    <row r="300" hidden="1" outlineLevel="2">
      <c r="A300" s="175"/>
      <c r="B300" s="175"/>
      <c r="C300" s="175"/>
      <c r="D300" s="175"/>
      <c r="E300" s="174" t="s">
        <v>252</v>
      </c>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hidden="1" outlineLevel="2">
      <c r="A301" s="175"/>
      <c r="B301" s="175"/>
      <c r="C301" s="175"/>
      <c r="D301" s="174" t="s">
        <v>253</v>
      </c>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hidden="1" outlineLevel="2">
      <c r="A302" s="175"/>
      <c r="B302" s="175"/>
      <c r="C302" s="174" t="s">
        <v>263</v>
      </c>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hidden="1" outlineLevel="2">
      <c r="A303" s="175"/>
      <c r="B303" s="174" t="s">
        <v>254</v>
      </c>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outlineLevel="1" collapsed="1">
      <c r="A304" s="175"/>
      <c r="B304" s="174" t="s">
        <v>330</v>
      </c>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hidden="1" outlineLevel="2">
      <c r="A305" s="175"/>
      <c r="B305" s="175"/>
      <c r="C305" s="174" t="s">
        <v>331</v>
      </c>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hidden="1" outlineLevel="2">
      <c r="A306" s="175"/>
      <c r="B306" s="175"/>
      <c r="C306" s="174" t="s">
        <v>258</v>
      </c>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hidden="1" outlineLevel="2">
      <c r="A307" s="175"/>
      <c r="B307" s="175"/>
      <c r="C307" s="175"/>
      <c r="D307" s="174" t="s">
        <v>259</v>
      </c>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hidden="1" outlineLevel="2">
      <c r="A308" s="175"/>
      <c r="B308" s="175"/>
      <c r="C308" s="175"/>
      <c r="D308" s="174" t="s">
        <v>260</v>
      </c>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hidden="1" outlineLevel="2">
      <c r="A309" s="175"/>
      <c r="B309" s="175"/>
      <c r="C309" s="175"/>
      <c r="D309" s="174" t="s">
        <v>323</v>
      </c>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hidden="1" outlineLevel="2">
      <c r="A310" s="175"/>
      <c r="B310" s="175"/>
      <c r="C310" s="175"/>
      <c r="D310" s="174" t="s">
        <v>315</v>
      </c>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hidden="1" outlineLevel="2">
      <c r="A311" s="175"/>
      <c r="B311" s="175"/>
      <c r="C311" s="175"/>
      <c r="D311" s="174" t="s">
        <v>261</v>
      </c>
      <c r="E311" s="179">
        <f>Calculation!I80</f>
        <v>0.1509375</v>
      </c>
      <c r="F311" s="174" t="s">
        <v>262</v>
      </c>
      <c r="G311" s="175"/>
      <c r="H311" s="175"/>
      <c r="I311" s="175"/>
      <c r="J311" s="175"/>
      <c r="K311" s="175"/>
      <c r="L311" s="175"/>
      <c r="M311" s="175"/>
      <c r="N311" s="175"/>
      <c r="O311" s="175"/>
      <c r="P311" s="175"/>
      <c r="Q311" s="175"/>
      <c r="R311" s="175"/>
      <c r="S311" s="175"/>
      <c r="T311" s="175"/>
      <c r="U311" s="175"/>
      <c r="V311" s="175"/>
      <c r="W311" s="175"/>
      <c r="X311" s="175"/>
      <c r="Y311" s="175"/>
      <c r="Z311" s="175"/>
    </row>
    <row r="312" hidden="1" outlineLevel="2">
      <c r="A312" s="175"/>
      <c r="B312" s="175"/>
      <c r="C312" s="174" t="s">
        <v>263</v>
      </c>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hidden="1" outlineLevel="2">
      <c r="A313" s="175"/>
      <c r="B313" s="174" t="s">
        <v>254</v>
      </c>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outlineLevel="1" collapsed="1">
      <c r="A314" s="175"/>
      <c r="B314" s="174" t="s">
        <v>332</v>
      </c>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hidden="1" outlineLevel="2">
      <c r="A315" s="175"/>
      <c r="B315" s="175"/>
      <c r="C315" s="174" t="s">
        <v>333</v>
      </c>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hidden="1" outlineLevel="2">
      <c r="A316" s="175"/>
      <c r="B316" s="175"/>
      <c r="C316" s="174" t="s">
        <v>258</v>
      </c>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hidden="1" outlineLevel="2">
      <c r="A317" s="175"/>
      <c r="B317" s="175"/>
      <c r="C317" s="175"/>
      <c r="D317" s="174" t="s">
        <v>259</v>
      </c>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hidden="1" outlineLevel="2">
      <c r="A318" s="175"/>
      <c r="B318" s="175"/>
      <c r="C318" s="175"/>
      <c r="D318" s="174" t="s">
        <v>260</v>
      </c>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hidden="1" outlineLevel="2">
      <c r="A319" s="175"/>
      <c r="B319" s="175"/>
      <c r="C319" s="175"/>
      <c r="D319" s="174" t="s">
        <v>323</v>
      </c>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hidden="1" outlineLevel="2">
      <c r="A320" s="175"/>
      <c r="B320" s="175"/>
      <c r="C320" s="175"/>
      <c r="D320" s="174" t="s">
        <v>319</v>
      </c>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hidden="1" outlineLevel="2">
      <c r="A321" s="175"/>
      <c r="B321" s="175"/>
      <c r="C321" s="175"/>
      <c r="D321" s="174" t="s">
        <v>261</v>
      </c>
      <c r="E321" s="180">
        <f>Calculation!$I$83</f>
        <v>-0.02878393446</v>
      </c>
      <c r="F321" s="174" t="s">
        <v>262</v>
      </c>
      <c r="G321" s="175"/>
      <c r="H321" s="175"/>
      <c r="I321" s="175"/>
      <c r="J321" s="175"/>
      <c r="K321" s="175"/>
      <c r="L321" s="175"/>
      <c r="M321" s="175"/>
      <c r="N321" s="175"/>
      <c r="O321" s="175"/>
      <c r="P321" s="175"/>
      <c r="Q321" s="175"/>
      <c r="R321" s="175"/>
      <c r="S321" s="175"/>
      <c r="T321" s="175"/>
      <c r="U321" s="175"/>
      <c r="V321" s="175"/>
      <c r="W321" s="175"/>
      <c r="X321" s="175"/>
      <c r="Y321" s="175"/>
      <c r="Z321" s="175"/>
    </row>
    <row r="322" hidden="1" outlineLevel="2">
      <c r="A322" s="175"/>
      <c r="B322" s="175"/>
      <c r="C322" s="174" t="s">
        <v>263</v>
      </c>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hidden="1" outlineLevel="2">
      <c r="A323" s="175"/>
      <c r="B323" s="174" t="s">
        <v>254</v>
      </c>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outlineLevel="1">
      <c r="A324" s="177" t="s">
        <v>280</v>
      </c>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c r="Y324" s="178"/>
      <c r="Z324" s="178"/>
    </row>
    <row r="325">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c r="A326" s="177" t="s">
        <v>334</v>
      </c>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c r="Y326" s="178"/>
      <c r="Z326" s="178"/>
    </row>
    <row r="327" outlineLevel="1" collapsed="1">
      <c r="A327" s="175"/>
      <c r="B327" s="174" t="s">
        <v>335</v>
      </c>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hidden="1" outlineLevel="2">
      <c r="A328" s="175"/>
      <c r="B328" s="175"/>
      <c r="C328" s="174" t="s">
        <v>336</v>
      </c>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hidden="1" outlineLevel="2">
      <c r="A329" s="175"/>
      <c r="B329" s="175"/>
      <c r="C329" s="174" t="s">
        <v>258</v>
      </c>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hidden="1" outlineLevel="2">
      <c r="A330" s="175"/>
      <c r="B330" s="175"/>
      <c r="C330" s="175"/>
      <c r="D330" s="174" t="s">
        <v>259</v>
      </c>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hidden="1" outlineLevel="2">
      <c r="A331" s="175"/>
      <c r="B331" s="175"/>
      <c r="C331" s="175"/>
      <c r="D331" s="174" t="s">
        <v>260</v>
      </c>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hidden="1" outlineLevel="2">
      <c r="A332" s="175"/>
      <c r="B332" s="175"/>
      <c r="C332" s="175"/>
      <c r="D332" s="174" t="s">
        <v>337</v>
      </c>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hidden="1" outlineLevel="2">
      <c r="A333" s="175"/>
      <c r="B333" s="175"/>
      <c r="C333" s="175"/>
      <c r="D333" s="174" t="s">
        <v>261</v>
      </c>
      <c r="E333" s="179">
        <f>Calculation!I86</f>
        <v>0.04</v>
      </c>
      <c r="F333" s="174" t="s">
        <v>262</v>
      </c>
      <c r="G333" s="175"/>
      <c r="H333" s="175"/>
      <c r="I333" s="175"/>
      <c r="J333" s="175"/>
      <c r="K333" s="175"/>
      <c r="L333" s="175"/>
      <c r="M333" s="175"/>
      <c r="N333" s="175"/>
      <c r="O333" s="175"/>
      <c r="P333" s="175"/>
      <c r="Q333" s="175"/>
      <c r="R333" s="175"/>
      <c r="S333" s="175"/>
      <c r="T333" s="175"/>
      <c r="U333" s="175"/>
      <c r="V333" s="175"/>
      <c r="W333" s="175"/>
      <c r="X333" s="175"/>
      <c r="Y333" s="175"/>
      <c r="Z333" s="175"/>
    </row>
    <row r="334" hidden="1" outlineLevel="2">
      <c r="A334" s="175"/>
      <c r="B334" s="175"/>
      <c r="C334" s="174" t="s">
        <v>263</v>
      </c>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hidden="1" outlineLevel="2">
      <c r="A335" s="175"/>
      <c r="B335" s="174" t="s">
        <v>254</v>
      </c>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outlineLevel="1" collapsed="1">
      <c r="A336" s="175"/>
      <c r="B336" s="174" t="s">
        <v>338</v>
      </c>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hidden="1" outlineLevel="2">
      <c r="A337" s="175"/>
      <c r="B337" s="175"/>
      <c r="C337" s="174" t="s">
        <v>339</v>
      </c>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hidden="1" outlineLevel="2">
      <c r="A338" s="175"/>
      <c r="B338" s="175"/>
      <c r="C338" s="174" t="s">
        <v>258</v>
      </c>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hidden="1" outlineLevel="2">
      <c r="A339" s="175"/>
      <c r="B339" s="175"/>
      <c r="C339" s="175"/>
      <c r="D339" s="174" t="s">
        <v>259</v>
      </c>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hidden="1" outlineLevel="2">
      <c r="A340" s="175"/>
      <c r="B340" s="175"/>
      <c r="C340" s="175"/>
      <c r="D340" s="174" t="s">
        <v>260</v>
      </c>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hidden="1" outlineLevel="2">
      <c r="A341" s="175"/>
      <c r="B341" s="175"/>
      <c r="C341" s="175"/>
      <c r="D341" s="174" t="s">
        <v>337</v>
      </c>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hidden="1" outlineLevel="2">
      <c r="A342" s="175"/>
      <c r="B342" s="175"/>
      <c r="C342" s="175"/>
      <c r="D342" s="174" t="s">
        <v>340</v>
      </c>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hidden="1" outlineLevel="2">
      <c r="A343" s="175"/>
      <c r="B343" s="175"/>
      <c r="C343" s="175"/>
      <c r="D343" s="174" t="s">
        <v>261</v>
      </c>
      <c r="E343" s="179">
        <f>Calculation!I89</f>
        <v>-0.7146661271</v>
      </c>
      <c r="F343" s="174" t="s">
        <v>262</v>
      </c>
      <c r="G343" s="175"/>
      <c r="H343" s="175"/>
      <c r="I343" s="175"/>
      <c r="J343" s="175"/>
      <c r="K343" s="175"/>
      <c r="L343" s="175"/>
      <c r="M343" s="175"/>
      <c r="N343" s="175"/>
      <c r="O343" s="175"/>
      <c r="P343" s="175"/>
      <c r="Q343" s="175"/>
      <c r="R343" s="175"/>
      <c r="S343" s="175"/>
      <c r="T343" s="175"/>
      <c r="U343" s="175"/>
      <c r="V343" s="175"/>
      <c r="W343" s="175"/>
      <c r="X343" s="175"/>
      <c r="Y343" s="175"/>
      <c r="Z343" s="175"/>
    </row>
    <row r="344" hidden="1" outlineLevel="2">
      <c r="A344" s="175"/>
      <c r="B344" s="175"/>
      <c r="C344" s="174" t="s">
        <v>263</v>
      </c>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hidden="1" outlineLevel="2">
      <c r="A345" s="175"/>
      <c r="B345" s="174" t="s">
        <v>254</v>
      </c>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outlineLevel="1" collapsed="1">
      <c r="A346" s="175"/>
      <c r="B346" s="174" t="s">
        <v>341</v>
      </c>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hidden="1" outlineLevel="2">
      <c r="A347" s="175"/>
      <c r="B347" s="175"/>
      <c r="C347" s="174" t="s">
        <v>342</v>
      </c>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hidden="1" outlineLevel="2">
      <c r="A348" s="175"/>
      <c r="B348" s="175"/>
      <c r="C348" s="174" t="s">
        <v>258</v>
      </c>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hidden="1" outlineLevel="2">
      <c r="A349" s="175"/>
      <c r="B349" s="175"/>
      <c r="C349" s="175"/>
      <c r="D349" s="174" t="s">
        <v>259</v>
      </c>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hidden="1" outlineLevel="2">
      <c r="A350" s="175"/>
      <c r="B350" s="175"/>
      <c r="C350" s="175"/>
      <c r="D350" s="174" t="s">
        <v>260</v>
      </c>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hidden="1" outlineLevel="2">
      <c r="A351" s="175"/>
      <c r="B351" s="175"/>
      <c r="C351" s="175"/>
      <c r="D351" s="174" t="s">
        <v>337</v>
      </c>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hidden="1" outlineLevel="2">
      <c r="A352" s="175"/>
      <c r="B352" s="175"/>
      <c r="C352" s="175"/>
      <c r="D352" s="174" t="s">
        <v>293</v>
      </c>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hidden="1" outlineLevel="2">
      <c r="A353" s="175"/>
      <c r="B353" s="175"/>
      <c r="C353" s="175"/>
      <c r="D353" s="174" t="s">
        <v>292</v>
      </c>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hidden="1" outlineLevel="2">
      <c r="A354" s="175"/>
      <c r="B354" s="175"/>
      <c r="C354" s="175"/>
      <c r="D354" s="174" t="s">
        <v>261</v>
      </c>
      <c r="E354" s="179">
        <f>Calculation!I93</f>
        <v>-6.263746193</v>
      </c>
      <c r="F354" s="174" t="s">
        <v>262</v>
      </c>
      <c r="G354" s="175"/>
      <c r="H354" s="175"/>
      <c r="I354" s="175"/>
      <c r="J354" s="175"/>
      <c r="K354" s="175"/>
      <c r="L354" s="175"/>
      <c r="M354" s="175"/>
      <c r="N354" s="175"/>
      <c r="O354" s="175"/>
      <c r="P354" s="175"/>
      <c r="Q354" s="175"/>
      <c r="R354" s="175"/>
      <c r="S354" s="175"/>
      <c r="T354" s="175"/>
      <c r="U354" s="175"/>
      <c r="V354" s="175"/>
      <c r="W354" s="175"/>
      <c r="X354" s="175"/>
      <c r="Y354" s="175"/>
      <c r="Z354" s="175"/>
    </row>
    <row r="355" hidden="1" outlineLevel="2">
      <c r="A355" s="175"/>
      <c r="B355" s="175"/>
      <c r="C355" s="174" t="s">
        <v>263</v>
      </c>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hidden="1" outlineLevel="2">
      <c r="A356" s="175"/>
      <c r="B356" s="174" t="s">
        <v>254</v>
      </c>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outlineLevel="1" collapsed="1">
      <c r="A357" s="175"/>
      <c r="B357" s="174" t="s">
        <v>343</v>
      </c>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hidden="1" outlineLevel="2">
      <c r="A358" s="175"/>
      <c r="B358" s="175"/>
      <c r="C358" s="174" t="s">
        <v>344</v>
      </c>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hidden="1" outlineLevel="2">
      <c r="A359" s="175"/>
      <c r="B359" s="175"/>
      <c r="C359" s="174" t="s">
        <v>258</v>
      </c>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hidden="1" outlineLevel="2">
      <c r="A360" s="175"/>
      <c r="B360" s="175"/>
      <c r="C360" s="175"/>
      <c r="D360" s="174" t="s">
        <v>259</v>
      </c>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hidden="1" outlineLevel="2">
      <c r="A361" s="175"/>
      <c r="B361" s="175"/>
      <c r="C361" s="175"/>
      <c r="D361" s="174" t="s">
        <v>260</v>
      </c>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hidden="1" outlineLevel="2">
      <c r="A362" s="175"/>
      <c r="B362" s="175"/>
      <c r="C362" s="175"/>
      <c r="D362" s="174" t="s">
        <v>337</v>
      </c>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hidden="1" outlineLevel="2">
      <c r="A363" s="175"/>
      <c r="B363" s="175"/>
      <c r="C363" s="175"/>
      <c r="D363" s="174" t="s">
        <v>293</v>
      </c>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hidden="1" outlineLevel="2">
      <c r="A364" s="175"/>
      <c r="B364" s="175"/>
      <c r="C364" s="175"/>
      <c r="D364" s="174" t="s">
        <v>296</v>
      </c>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hidden="1" outlineLevel="2">
      <c r="A365" s="175"/>
      <c r="B365" s="175"/>
      <c r="C365" s="175"/>
      <c r="D365" s="174" t="s">
        <v>261</v>
      </c>
      <c r="E365" s="179">
        <f>Calculation!I96</f>
        <v>-13.36830097</v>
      </c>
      <c r="F365" s="174" t="s">
        <v>262</v>
      </c>
      <c r="G365" s="175"/>
      <c r="H365" s="175"/>
      <c r="I365" s="175"/>
      <c r="J365" s="175"/>
      <c r="K365" s="175"/>
      <c r="L365" s="175"/>
      <c r="M365" s="175"/>
      <c r="N365" s="175"/>
      <c r="O365" s="175"/>
      <c r="P365" s="175"/>
      <c r="Q365" s="175"/>
      <c r="R365" s="175"/>
      <c r="S365" s="175"/>
      <c r="T365" s="175"/>
      <c r="U365" s="175"/>
      <c r="V365" s="175"/>
      <c r="W365" s="175"/>
      <c r="X365" s="175"/>
      <c r="Y365" s="175"/>
      <c r="Z365" s="175"/>
    </row>
    <row r="366" hidden="1" outlineLevel="2">
      <c r="A366" s="175"/>
      <c r="B366" s="175"/>
      <c r="C366" s="174" t="s">
        <v>263</v>
      </c>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hidden="1" outlineLevel="2">
      <c r="A367" s="175"/>
      <c r="B367" s="174" t="s">
        <v>254</v>
      </c>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outlineLevel="1" collapsed="1">
      <c r="A368" s="175"/>
      <c r="B368" s="174" t="s">
        <v>345</v>
      </c>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hidden="1" outlineLevel="2">
      <c r="A369" s="175"/>
      <c r="B369" s="175"/>
      <c r="C369" s="174" t="s">
        <v>346</v>
      </c>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hidden="1" outlineLevel="2">
      <c r="A370" s="175"/>
      <c r="B370" s="175"/>
      <c r="C370" s="174" t="s">
        <v>258</v>
      </c>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hidden="1" outlineLevel="2">
      <c r="A371" s="175"/>
      <c r="B371" s="175"/>
      <c r="C371" s="175"/>
      <c r="D371" s="174" t="s">
        <v>259</v>
      </c>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hidden="1" outlineLevel="2">
      <c r="A372" s="175"/>
      <c r="B372" s="175"/>
      <c r="C372" s="175"/>
      <c r="D372" s="174" t="s">
        <v>260</v>
      </c>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hidden="1" outlineLevel="2">
      <c r="A373" s="175"/>
      <c r="B373" s="175"/>
      <c r="C373" s="175"/>
      <c r="D373" s="174" t="s">
        <v>337</v>
      </c>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hidden="1" outlineLevel="2">
      <c r="A374" s="175"/>
      <c r="B374" s="175"/>
      <c r="C374" s="175"/>
      <c r="D374" s="174" t="s">
        <v>249</v>
      </c>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hidden="1" outlineLevel="2">
      <c r="A375" s="175"/>
      <c r="B375" s="175"/>
      <c r="C375" s="175"/>
      <c r="D375" s="175"/>
      <c r="E375" s="174" t="s">
        <v>289</v>
      </c>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hidden="1" outlineLevel="2">
      <c r="A376" s="175"/>
      <c r="B376" s="175"/>
      <c r="C376" s="175"/>
      <c r="D376" s="175"/>
      <c r="E376" s="174" t="s">
        <v>251</v>
      </c>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hidden="1" outlineLevel="2">
      <c r="A377" s="175"/>
      <c r="B377" s="175"/>
      <c r="C377" s="175"/>
      <c r="D377" s="175"/>
      <c r="E377" s="175"/>
      <c r="F377" s="176">
        <v>0.0</v>
      </c>
      <c r="G377" s="176">
        <v>0.0</v>
      </c>
      <c r="H377" s="175"/>
      <c r="I377" s="175"/>
      <c r="J377" s="175"/>
      <c r="K377" s="175"/>
      <c r="L377" s="175"/>
      <c r="M377" s="175"/>
      <c r="N377" s="175"/>
      <c r="O377" s="175"/>
      <c r="P377" s="175"/>
      <c r="Q377" s="175"/>
      <c r="R377" s="175"/>
      <c r="S377" s="175"/>
      <c r="T377" s="175"/>
      <c r="U377" s="175"/>
      <c r="V377" s="175"/>
      <c r="W377" s="175"/>
      <c r="X377" s="175"/>
      <c r="Y377" s="175"/>
      <c r="Z377" s="175"/>
    </row>
    <row r="378" hidden="1" outlineLevel="2">
      <c r="A378" s="175"/>
      <c r="B378" s="175"/>
      <c r="C378" s="175"/>
      <c r="D378" s="175"/>
      <c r="E378" s="175"/>
      <c r="F378" s="176">
        <v>10.0</v>
      </c>
      <c r="G378" s="176">
        <v>-0.0654</v>
      </c>
      <c r="H378" s="175"/>
      <c r="I378" s="175"/>
      <c r="J378" s="175"/>
      <c r="K378" s="175"/>
      <c r="L378" s="175"/>
      <c r="M378" s="175"/>
      <c r="N378" s="175"/>
      <c r="O378" s="175"/>
      <c r="P378" s="175"/>
      <c r="Q378" s="175"/>
      <c r="R378" s="175"/>
      <c r="S378" s="175"/>
      <c r="T378" s="175"/>
      <c r="U378" s="175"/>
      <c r="V378" s="175"/>
      <c r="W378" s="175"/>
      <c r="X378" s="175"/>
      <c r="Y378" s="175"/>
      <c r="Z378" s="175"/>
    </row>
    <row r="379" hidden="1" outlineLevel="2">
      <c r="A379" s="175"/>
      <c r="B379" s="175"/>
      <c r="C379" s="175"/>
      <c r="D379" s="175"/>
      <c r="E379" s="175"/>
      <c r="F379" s="176">
        <v>20.0</v>
      </c>
      <c r="G379" s="176">
        <v>-0.0981</v>
      </c>
      <c r="H379" s="175"/>
      <c r="I379" s="175"/>
      <c r="J379" s="175"/>
      <c r="K379" s="175"/>
      <c r="L379" s="175"/>
      <c r="M379" s="175"/>
      <c r="N379" s="175"/>
      <c r="O379" s="175"/>
      <c r="P379" s="175"/>
      <c r="Q379" s="175"/>
      <c r="R379" s="175"/>
      <c r="S379" s="175"/>
      <c r="T379" s="175"/>
      <c r="U379" s="175"/>
      <c r="V379" s="175"/>
      <c r="W379" s="175"/>
      <c r="X379" s="175"/>
      <c r="Y379" s="175"/>
      <c r="Z379" s="175"/>
    </row>
    <row r="380" hidden="1" outlineLevel="2">
      <c r="A380" s="175"/>
      <c r="B380" s="175"/>
      <c r="C380" s="175"/>
      <c r="D380" s="175"/>
      <c r="E380" s="175"/>
      <c r="F380" s="176">
        <v>30.0</v>
      </c>
      <c r="G380" s="176">
        <v>-0.114</v>
      </c>
      <c r="H380" s="175"/>
      <c r="I380" s="175"/>
      <c r="J380" s="175"/>
      <c r="K380" s="175"/>
      <c r="L380" s="175"/>
      <c r="M380" s="175"/>
      <c r="N380" s="175"/>
      <c r="O380" s="175"/>
      <c r="P380" s="175"/>
      <c r="Q380" s="175"/>
      <c r="R380" s="175"/>
      <c r="S380" s="175"/>
      <c r="T380" s="175"/>
      <c r="U380" s="175"/>
      <c r="V380" s="175"/>
      <c r="W380" s="175"/>
      <c r="X380" s="175"/>
      <c r="Y380" s="175"/>
      <c r="Z380" s="175"/>
    </row>
    <row r="381" hidden="1" outlineLevel="2">
      <c r="A381" s="175"/>
      <c r="B381" s="175"/>
      <c r="C381" s="175"/>
      <c r="D381" s="175"/>
      <c r="E381" s="174" t="s">
        <v>252</v>
      </c>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hidden="1" outlineLevel="2">
      <c r="A382" s="175"/>
      <c r="B382" s="175"/>
      <c r="C382" s="175"/>
      <c r="D382" s="174" t="s">
        <v>253</v>
      </c>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hidden="1" outlineLevel="2">
      <c r="A383" s="175"/>
      <c r="B383" s="175"/>
      <c r="C383" s="174" t="s">
        <v>263</v>
      </c>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hidden="1" outlineLevel="2">
      <c r="A384" s="175"/>
      <c r="B384" s="174" t="s">
        <v>254</v>
      </c>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outlineLevel="1" collapsed="1">
      <c r="A385" s="175"/>
      <c r="B385" s="174" t="s">
        <v>347</v>
      </c>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hidden="1" outlineLevel="2">
      <c r="A386" s="175"/>
      <c r="B386" s="175"/>
      <c r="C386" s="174" t="s">
        <v>348</v>
      </c>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hidden="1" outlineLevel="2">
      <c r="A387" s="175"/>
      <c r="B387" s="175"/>
      <c r="C387" s="174" t="s">
        <v>258</v>
      </c>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hidden="1" outlineLevel="2">
      <c r="A388" s="175"/>
      <c r="B388" s="175"/>
      <c r="C388" s="175"/>
      <c r="D388" s="174" t="s">
        <v>259</v>
      </c>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hidden="1" outlineLevel="2">
      <c r="A389" s="175"/>
      <c r="B389" s="175"/>
      <c r="C389" s="175"/>
      <c r="D389" s="174" t="s">
        <v>260</v>
      </c>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hidden="1" outlineLevel="2">
      <c r="A390" s="175"/>
      <c r="B390" s="175"/>
      <c r="C390" s="175"/>
      <c r="D390" s="174" t="s">
        <v>337</v>
      </c>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hidden="1" outlineLevel="2">
      <c r="A391" s="175"/>
      <c r="B391" s="175"/>
      <c r="C391" s="175"/>
      <c r="D391" s="174" t="s">
        <v>299</v>
      </c>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hidden="1" outlineLevel="2">
      <c r="A392" s="175"/>
      <c r="B392" s="175"/>
      <c r="C392" s="175"/>
      <c r="D392" s="174" t="s">
        <v>261</v>
      </c>
      <c r="E392" s="179">
        <f>Calculation!I99</f>
        <v>-1.290732507</v>
      </c>
      <c r="F392" s="174" t="s">
        <v>349</v>
      </c>
      <c r="G392" s="175"/>
      <c r="H392" s="175"/>
      <c r="I392" s="175"/>
      <c r="J392" s="175"/>
      <c r="K392" s="175"/>
      <c r="L392" s="175"/>
      <c r="M392" s="175"/>
      <c r="N392" s="175"/>
      <c r="O392" s="175"/>
      <c r="P392" s="175"/>
      <c r="Q392" s="175"/>
      <c r="R392" s="175"/>
      <c r="S392" s="175"/>
      <c r="T392" s="175"/>
      <c r="U392" s="175"/>
      <c r="V392" s="175"/>
      <c r="W392" s="175"/>
      <c r="X392" s="175"/>
      <c r="Y392" s="175"/>
      <c r="Z392" s="175"/>
    </row>
    <row r="393" hidden="1" outlineLevel="2">
      <c r="A393" s="175"/>
      <c r="B393" s="175"/>
      <c r="C393" s="174" t="s">
        <v>263</v>
      </c>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hidden="1" outlineLevel="2">
      <c r="A394" s="175"/>
      <c r="B394" s="174" t="s">
        <v>254</v>
      </c>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outlineLevel="1" collapsed="1">
      <c r="A395" s="175"/>
      <c r="B395" s="174" t="s">
        <v>350</v>
      </c>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hidden="1" outlineLevel="2">
      <c r="A396" s="175"/>
      <c r="B396" s="174"/>
      <c r="C396" s="174" t="s">
        <v>351</v>
      </c>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hidden="1" outlineLevel="2">
      <c r="A397" s="175"/>
      <c r="B397" s="174"/>
      <c r="C397" s="174" t="s">
        <v>258</v>
      </c>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hidden="1" outlineLevel="2">
      <c r="A398" s="175"/>
      <c r="B398" s="174"/>
      <c r="C398" s="175"/>
      <c r="D398" s="174" t="s">
        <v>259</v>
      </c>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hidden="1" outlineLevel="2">
      <c r="A399" s="175"/>
      <c r="B399" s="174"/>
      <c r="C399" s="175"/>
      <c r="D399" s="174" t="s">
        <v>260</v>
      </c>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hidden="1" outlineLevel="2">
      <c r="A400" s="175"/>
      <c r="B400" s="174"/>
      <c r="C400" s="175"/>
      <c r="D400" s="174" t="s">
        <v>337</v>
      </c>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hidden="1" outlineLevel="2">
      <c r="A401" s="175"/>
      <c r="B401" s="174"/>
      <c r="C401" s="175"/>
      <c r="D401" s="174" t="s">
        <v>279</v>
      </c>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hidden="1" outlineLevel="2">
      <c r="A402" s="175"/>
      <c r="B402" s="174"/>
      <c r="C402" s="175"/>
      <c r="D402" s="174" t="s">
        <v>261</v>
      </c>
      <c r="E402" s="179">
        <f>Calculation!I122</f>
        <v>0.3009884649</v>
      </c>
      <c r="F402" s="174" t="s">
        <v>349</v>
      </c>
      <c r="G402" s="175"/>
      <c r="H402" s="175"/>
      <c r="I402" s="175"/>
      <c r="J402" s="175"/>
      <c r="K402" s="175"/>
      <c r="L402" s="175"/>
      <c r="M402" s="175"/>
      <c r="N402" s="175"/>
      <c r="O402" s="175"/>
      <c r="P402" s="175"/>
      <c r="Q402" s="175"/>
      <c r="R402" s="175"/>
      <c r="S402" s="175"/>
      <c r="T402" s="175"/>
      <c r="U402" s="175"/>
      <c r="V402" s="175"/>
      <c r="W402" s="175"/>
      <c r="X402" s="175"/>
      <c r="Y402" s="175"/>
      <c r="Z402" s="175"/>
    </row>
    <row r="403" hidden="1" outlineLevel="2">
      <c r="A403" s="175"/>
      <c r="B403" s="174"/>
      <c r="C403" s="174" t="s">
        <v>263</v>
      </c>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hidden="1" outlineLevel="2">
      <c r="A404" s="175"/>
      <c r="B404" s="174" t="s">
        <v>254</v>
      </c>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outlineLevel="1">
      <c r="A405" s="177" t="s">
        <v>280</v>
      </c>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c r="Y405" s="178"/>
      <c r="Z405" s="178"/>
    </row>
    <row r="40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c r="A407" s="177" t="s">
        <v>352</v>
      </c>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c r="Y407" s="178"/>
      <c r="Z407" s="178"/>
    </row>
    <row r="408" outlineLevel="1" collapsed="1">
      <c r="A408" s="175"/>
      <c r="B408" s="174" t="s">
        <v>353</v>
      </c>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hidden="1" outlineLevel="2">
      <c r="A409" s="175"/>
      <c r="B409" s="175"/>
      <c r="C409" s="174" t="s">
        <v>354</v>
      </c>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hidden="1" outlineLevel="2">
      <c r="A410" s="175"/>
      <c r="B410" s="175"/>
      <c r="C410" s="174" t="s">
        <v>258</v>
      </c>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hidden="1" outlineLevel="2">
      <c r="A411" s="175"/>
      <c r="B411" s="175"/>
      <c r="C411" s="175"/>
      <c r="D411" s="174" t="s">
        <v>259</v>
      </c>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hidden="1" outlineLevel="2">
      <c r="A412" s="175"/>
      <c r="B412" s="175"/>
      <c r="C412" s="175"/>
      <c r="D412" s="174" t="s">
        <v>260</v>
      </c>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hidden="1" outlineLevel="2">
      <c r="A413" s="175"/>
      <c r="B413" s="175"/>
      <c r="C413" s="175"/>
      <c r="D413" s="174" t="s">
        <v>323</v>
      </c>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hidden="1" outlineLevel="2">
      <c r="A414" s="175"/>
      <c r="B414" s="175"/>
      <c r="C414" s="175"/>
      <c r="D414" s="174" t="s">
        <v>305</v>
      </c>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hidden="1" outlineLevel="2">
      <c r="A415" s="175"/>
      <c r="B415" s="175"/>
      <c r="C415" s="175"/>
      <c r="D415" s="174" t="s">
        <v>261</v>
      </c>
      <c r="E415" s="179">
        <f>Calculation!I102</f>
        <v>0.1242857143</v>
      </c>
      <c r="F415" s="174" t="s">
        <v>349</v>
      </c>
      <c r="G415" s="175"/>
      <c r="H415" s="175"/>
      <c r="I415" s="175"/>
      <c r="J415" s="175"/>
      <c r="K415" s="175"/>
      <c r="L415" s="175"/>
      <c r="M415" s="175"/>
      <c r="N415" s="175"/>
      <c r="O415" s="175"/>
      <c r="P415" s="175"/>
      <c r="Q415" s="175"/>
      <c r="R415" s="175"/>
      <c r="S415" s="175"/>
      <c r="T415" s="175"/>
      <c r="U415" s="175"/>
      <c r="V415" s="175"/>
      <c r="W415" s="175"/>
      <c r="X415" s="175"/>
      <c r="Y415" s="175"/>
      <c r="Z415" s="175"/>
    </row>
    <row r="416" hidden="1" outlineLevel="2">
      <c r="A416" s="175"/>
      <c r="B416" s="175"/>
      <c r="C416" s="174" t="s">
        <v>263</v>
      </c>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hidden="1" outlineLevel="2">
      <c r="A417" s="175"/>
      <c r="B417" s="174" t="s">
        <v>254</v>
      </c>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outlineLevel="1" collapsed="1">
      <c r="A418" s="175"/>
      <c r="B418" s="174" t="s">
        <v>355</v>
      </c>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hidden="1" outlineLevel="2">
      <c r="A419" s="175"/>
      <c r="B419" s="175"/>
      <c r="C419" s="174" t="s">
        <v>356</v>
      </c>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hidden="1" outlineLevel="2">
      <c r="A420" s="175"/>
      <c r="B420" s="175"/>
      <c r="C420" s="174" t="s">
        <v>258</v>
      </c>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hidden="1" outlineLevel="2">
      <c r="A421" s="175"/>
      <c r="B421" s="175"/>
      <c r="C421" s="175"/>
      <c r="D421" s="174" t="s">
        <v>259</v>
      </c>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hidden="1" outlineLevel="2">
      <c r="A422" s="175"/>
      <c r="B422" s="175"/>
      <c r="C422" s="175"/>
      <c r="D422" s="174" t="s">
        <v>260</v>
      </c>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hidden="1" outlineLevel="2">
      <c r="A423" s="175"/>
      <c r="B423" s="175"/>
      <c r="C423" s="175"/>
      <c r="D423" s="174" t="s">
        <v>323</v>
      </c>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hidden="1" outlineLevel="2">
      <c r="A424" s="175"/>
      <c r="B424" s="175"/>
      <c r="C424" s="175"/>
      <c r="D424" s="174" t="s">
        <v>308</v>
      </c>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hidden="1" outlineLevel="2">
      <c r="A425" s="175"/>
      <c r="B425" s="175"/>
      <c r="C425" s="175"/>
      <c r="D425" s="174" t="s">
        <v>309</v>
      </c>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hidden="1" outlineLevel="2">
      <c r="A426" s="175"/>
      <c r="B426" s="175"/>
      <c r="C426" s="175"/>
      <c r="D426" s="174" t="s">
        <v>249</v>
      </c>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hidden="1" outlineLevel="2">
      <c r="A427" s="175"/>
      <c r="B427" s="175"/>
      <c r="C427" s="175"/>
      <c r="D427" s="175"/>
      <c r="E427" s="174" t="s">
        <v>266</v>
      </c>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hidden="1" outlineLevel="2">
      <c r="A428" s="175"/>
      <c r="B428" s="175"/>
      <c r="C428" s="175"/>
      <c r="D428" s="175"/>
      <c r="E428" s="174" t="s">
        <v>251</v>
      </c>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hidden="1" outlineLevel="2">
      <c r="A429" s="175"/>
      <c r="B429" s="175"/>
      <c r="C429" s="175"/>
      <c r="D429" s="175"/>
      <c r="E429" s="175"/>
      <c r="F429" s="176">
        <v>0.0</v>
      </c>
      <c r="G429" s="181">
        <f>Calculation!J106</f>
        <v>-0.06</v>
      </c>
      <c r="H429" s="175"/>
      <c r="I429" s="175"/>
      <c r="J429" s="175"/>
      <c r="K429" s="175"/>
      <c r="L429" s="175"/>
      <c r="M429" s="175"/>
      <c r="N429" s="175"/>
      <c r="O429" s="175"/>
      <c r="P429" s="175"/>
      <c r="Q429" s="175"/>
      <c r="R429" s="175"/>
      <c r="S429" s="175"/>
      <c r="T429" s="175"/>
      <c r="U429" s="175"/>
      <c r="V429" s="175"/>
      <c r="W429" s="175"/>
      <c r="X429" s="175"/>
      <c r="Y429" s="175"/>
      <c r="Z429" s="175"/>
    </row>
    <row r="430" hidden="1" outlineLevel="2">
      <c r="A430" s="175"/>
      <c r="B430" s="175"/>
      <c r="C430" s="175"/>
      <c r="D430" s="175"/>
      <c r="E430" s="175"/>
      <c r="F430" s="176">
        <v>0.0943</v>
      </c>
      <c r="G430" s="181">
        <f>Calculation!J107</f>
        <v>-0.1142225</v>
      </c>
      <c r="H430" s="175"/>
      <c r="I430" s="175"/>
      <c r="J430" s="175"/>
      <c r="K430" s="175"/>
      <c r="L430" s="175"/>
      <c r="M430" s="175"/>
      <c r="N430" s="175"/>
      <c r="O430" s="175"/>
      <c r="P430" s="175"/>
      <c r="Q430" s="175"/>
      <c r="R430" s="175"/>
      <c r="S430" s="175"/>
      <c r="T430" s="175"/>
      <c r="U430" s="175"/>
      <c r="V430" s="175"/>
      <c r="W430" s="175"/>
      <c r="X430" s="175"/>
      <c r="Y430" s="175"/>
      <c r="Z430" s="175"/>
    </row>
    <row r="431" hidden="1" outlineLevel="2">
      <c r="A431" s="175"/>
      <c r="B431" s="175"/>
      <c r="C431" s="175"/>
      <c r="D431" s="175"/>
      <c r="E431" s="174" t="s">
        <v>252</v>
      </c>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hidden="1" outlineLevel="2">
      <c r="A432" s="175"/>
      <c r="B432" s="175"/>
      <c r="C432" s="175"/>
      <c r="D432" s="174" t="s">
        <v>253</v>
      </c>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hidden="1" outlineLevel="2">
      <c r="A433" s="175"/>
      <c r="B433" s="175"/>
      <c r="C433" s="174" t="s">
        <v>263</v>
      </c>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hidden="1" outlineLevel="2">
      <c r="A434" s="175"/>
      <c r="B434" s="174" t="s">
        <v>254</v>
      </c>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outlineLevel="1" collapsed="1">
      <c r="A435" s="175"/>
      <c r="B435" s="174" t="s">
        <v>357</v>
      </c>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hidden="1" outlineLevel="2">
      <c r="A436" s="175"/>
      <c r="B436" s="175"/>
      <c r="C436" s="174" t="s">
        <v>358</v>
      </c>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hidden="1" outlineLevel="2">
      <c r="A437" s="175"/>
      <c r="B437" s="175"/>
      <c r="C437" s="174" t="s">
        <v>258</v>
      </c>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hidden="1" outlineLevel="2">
      <c r="A438" s="175"/>
      <c r="B438" s="175"/>
      <c r="C438" s="175"/>
      <c r="D438" s="174" t="s">
        <v>259</v>
      </c>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hidden="1" outlineLevel="2">
      <c r="A439" s="175"/>
      <c r="B439" s="175"/>
      <c r="C439" s="175"/>
      <c r="D439" s="174" t="s">
        <v>260</v>
      </c>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hidden="1" outlineLevel="2">
      <c r="A440" s="175"/>
      <c r="B440" s="175"/>
      <c r="C440" s="175"/>
      <c r="D440" s="174" t="s">
        <v>323</v>
      </c>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hidden="1" outlineLevel="2">
      <c r="A441" s="175"/>
      <c r="B441" s="175"/>
      <c r="C441" s="175"/>
      <c r="D441" s="174" t="s">
        <v>308</v>
      </c>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hidden="1" outlineLevel="2">
      <c r="A442" s="175"/>
      <c r="B442" s="175"/>
      <c r="C442" s="175"/>
      <c r="D442" s="174" t="s">
        <v>312</v>
      </c>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hidden="1" outlineLevel="2">
      <c r="A443" s="175"/>
      <c r="B443" s="175"/>
      <c r="C443" s="175"/>
      <c r="D443" s="174" t="s">
        <v>261</v>
      </c>
      <c r="E443" s="181">
        <f>Calculation!$I$109</f>
        <v>-0.3250950125</v>
      </c>
      <c r="F443" s="174" t="s">
        <v>262</v>
      </c>
      <c r="G443" s="175"/>
      <c r="H443" s="175"/>
      <c r="I443" s="175"/>
      <c r="J443" s="175"/>
      <c r="K443" s="175"/>
      <c r="L443" s="175"/>
      <c r="M443" s="175"/>
      <c r="N443" s="175"/>
      <c r="O443" s="175"/>
      <c r="P443" s="175"/>
      <c r="Q443" s="175"/>
      <c r="R443" s="175"/>
      <c r="S443" s="175"/>
      <c r="T443" s="175"/>
      <c r="U443" s="175"/>
      <c r="V443" s="175"/>
      <c r="W443" s="175"/>
      <c r="X443" s="175"/>
      <c r="Y443" s="175"/>
      <c r="Z443" s="175"/>
    </row>
    <row r="444" hidden="1" outlineLevel="2">
      <c r="A444" s="175"/>
      <c r="B444" s="175"/>
      <c r="C444" s="174" t="s">
        <v>263</v>
      </c>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hidden="1" outlineLevel="2">
      <c r="A445" s="175"/>
      <c r="B445" s="174" t="s">
        <v>254</v>
      </c>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outlineLevel="1" collapsed="1">
      <c r="A446" s="175"/>
      <c r="B446" s="174" t="s">
        <v>359</v>
      </c>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hidden="1" outlineLevel="2">
      <c r="A447" s="175"/>
      <c r="B447" s="175"/>
      <c r="C447" s="174" t="s">
        <v>360</v>
      </c>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hidden="1" outlineLevel="2">
      <c r="A448" s="175"/>
      <c r="B448" s="175"/>
      <c r="C448" s="174" t="s">
        <v>258</v>
      </c>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hidden="1" outlineLevel="2">
      <c r="A449" s="175"/>
      <c r="B449" s="175"/>
      <c r="C449" s="175"/>
      <c r="D449" s="174" t="s">
        <v>259</v>
      </c>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hidden="1" outlineLevel="2">
      <c r="A450" s="175"/>
      <c r="B450" s="175"/>
      <c r="C450" s="175"/>
      <c r="D450" s="174" t="s">
        <v>260</v>
      </c>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hidden="1" outlineLevel="2">
      <c r="A451" s="175"/>
      <c r="B451" s="175"/>
      <c r="C451" s="175"/>
      <c r="D451" s="174" t="s">
        <v>323</v>
      </c>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hidden="1" outlineLevel="2">
      <c r="A452" s="175"/>
      <c r="B452" s="175"/>
      <c r="C452" s="175"/>
      <c r="D452" s="174" t="s">
        <v>315</v>
      </c>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hidden="1" outlineLevel="2">
      <c r="A453" s="175"/>
      <c r="B453" s="175"/>
      <c r="C453" s="175"/>
      <c r="D453" s="174" t="s">
        <v>249</v>
      </c>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hidden="1" outlineLevel="2">
      <c r="A454" s="175"/>
      <c r="B454" s="175"/>
      <c r="C454" s="175"/>
      <c r="D454" s="175"/>
      <c r="E454" s="174" t="s">
        <v>266</v>
      </c>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hidden="1" outlineLevel="2">
      <c r="A455" s="175"/>
      <c r="B455" s="175"/>
      <c r="C455" s="175"/>
      <c r="D455" s="175"/>
      <c r="E455" s="174" t="s">
        <v>251</v>
      </c>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hidden="1" outlineLevel="2">
      <c r="A456" s="175"/>
      <c r="B456" s="175"/>
      <c r="C456" s="175"/>
      <c r="D456" s="175"/>
      <c r="E456" s="175"/>
      <c r="F456" s="176">
        <v>0.0</v>
      </c>
      <c r="G456" s="181">
        <f>Calculation!$J$113</f>
        <v>-0.0108675</v>
      </c>
      <c r="H456" s="175"/>
      <c r="I456" s="175"/>
      <c r="J456" s="175"/>
      <c r="K456" s="175"/>
      <c r="L456" s="175"/>
      <c r="M456" s="175"/>
      <c r="N456" s="175"/>
      <c r="O456" s="175"/>
      <c r="P456" s="175"/>
      <c r="Q456" s="175"/>
      <c r="R456" s="175"/>
      <c r="S456" s="175"/>
      <c r="T456" s="175"/>
      <c r="U456" s="175"/>
      <c r="V456" s="175"/>
      <c r="W456" s="175"/>
      <c r="X456" s="175"/>
      <c r="Y456" s="175"/>
      <c r="Z456" s="175"/>
    </row>
    <row r="457" hidden="1" outlineLevel="2">
      <c r="A457" s="175"/>
      <c r="B457" s="175"/>
      <c r="C457" s="175"/>
      <c r="D457" s="175"/>
      <c r="E457" s="175"/>
      <c r="F457" s="176">
        <v>0.0943</v>
      </c>
      <c r="G457" s="181">
        <f>Calculation!$J$114</f>
        <v>-0.02068855031</v>
      </c>
      <c r="H457" s="175"/>
      <c r="I457" s="175"/>
      <c r="J457" s="175"/>
      <c r="K457" s="175"/>
      <c r="L457" s="175"/>
      <c r="M457" s="175"/>
      <c r="N457" s="175"/>
      <c r="O457" s="175"/>
      <c r="P457" s="175"/>
      <c r="Q457" s="175"/>
      <c r="R457" s="175"/>
      <c r="S457" s="175"/>
      <c r="T457" s="175"/>
      <c r="U457" s="175"/>
      <c r="V457" s="175"/>
      <c r="W457" s="175"/>
      <c r="X457" s="175"/>
      <c r="Y457" s="175"/>
      <c r="Z457" s="175"/>
    </row>
    <row r="458" hidden="1" outlineLevel="2">
      <c r="A458" s="175"/>
      <c r="B458" s="175"/>
      <c r="C458" s="175"/>
      <c r="D458" s="175"/>
      <c r="E458" s="174" t="s">
        <v>252</v>
      </c>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hidden="1" outlineLevel="2">
      <c r="A459" s="175"/>
      <c r="B459" s="175"/>
      <c r="C459" s="175"/>
      <c r="D459" s="174" t="s">
        <v>253</v>
      </c>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hidden="1" outlineLevel="2">
      <c r="A460" s="175"/>
      <c r="B460" s="175"/>
      <c r="C460" s="174" t="s">
        <v>263</v>
      </c>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hidden="1" outlineLevel="2">
      <c r="A461" s="175"/>
      <c r="B461" s="174" t="s">
        <v>254</v>
      </c>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outlineLevel="1" collapsed="1">
      <c r="A462" s="175"/>
      <c r="B462" s="174" t="s">
        <v>361</v>
      </c>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hidden="1" outlineLevel="2">
      <c r="A463" s="175"/>
      <c r="B463" s="175"/>
      <c r="C463" s="174" t="s">
        <v>362</v>
      </c>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hidden="1" outlineLevel="2">
      <c r="A464" s="175"/>
      <c r="B464" s="175"/>
      <c r="C464" s="174" t="s">
        <v>258</v>
      </c>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hidden="1" outlineLevel="2">
      <c r="A465" s="175"/>
      <c r="B465" s="175"/>
      <c r="C465" s="175"/>
      <c r="D465" s="174" t="s">
        <v>259</v>
      </c>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hidden="1" outlineLevel="2">
      <c r="A466" s="175"/>
      <c r="B466" s="175"/>
      <c r="C466" s="175"/>
      <c r="D466" s="174" t="s">
        <v>260</v>
      </c>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hidden="1" outlineLevel="2">
      <c r="A467" s="175"/>
      <c r="B467" s="175"/>
      <c r="C467" s="175"/>
      <c r="D467" s="174" t="s">
        <v>323</v>
      </c>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hidden="1" outlineLevel="2">
      <c r="A468" s="175"/>
      <c r="B468" s="175"/>
      <c r="C468" s="175"/>
      <c r="D468" s="174" t="s">
        <v>319</v>
      </c>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hidden="1" outlineLevel="2">
      <c r="A469" s="175"/>
      <c r="B469" s="175"/>
      <c r="C469" s="175"/>
      <c r="D469" s="174" t="s">
        <v>261</v>
      </c>
      <c r="E469" s="181">
        <f>Calculation!I116</f>
        <v>-0.08370262391</v>
      </c>
      <c r="F469" s="174" t="s">
        <v>262</v>
      </c>
      <c r="G469" s="175"/>
      <c r="H469" s="175"/>
      <c r="I469" s="175"/>
      <c r="J469" s="175"/>
      <c r="K469" s="175"/>
      <c r="L469" s="175"/>
      <c r="M469" s="175"/>
      <c r="N469" s="175"/>
      <c r="O469" s="175"/>
      <c r="P469" s="175"/>
      <c r="Q469" s="175"/>
      <c r="R469" s="175"/>
      <c r="S469" s="175"/>
      <c r="T469" s="175"/>
      <c r="U469" s="175"/>
      <c r="V469" s="175"/>
      <c r="W469" s="175"/>
      <c r="X469" s="175"/>
      <c r="Y469" s="175"/>
      <c r="Z469" s="175"/>
    </row>
    <row r="470" hidden="1" outlineLevel="2">
      <c r="A470" s="175"/>
      <c r="B470" s="175"/>
      <c r="C470" s="174" t="s">
        <v>263</v>
      </c>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hidden="1" outlineLevel="2">
      <c r="A471" s="175"/>
      <c r="B471" s="174" t="s">
        <v>254</v>
      </c>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outlineLevel="1">
      <c r="A472" s="177" t="s">
        <v>280</v>
      </c>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c r="Y472" s="178"/>
      <c r="Z472" s="178"/>
    </row>
    <row r="473">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c r="A474" s="174" t="s">
        <v>363</v>
      </c>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c r="A475" s="174"/>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77" t="s">
        <v>364</v>
      </c>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c r="A2" s="175"/>
      <c r="B2" s="175" t="s">
        <v>31</v>
      </c>
      <c r="C2" s="182" t="s">
        <v>21</v>
      </c>
      <c r="D2" s="174" t="s">
        <v>365</v>
      </c>
      <c r="E2" s="174"/>
      <c r="F2" s="175"/>
      <c r="G2" s="174" t="s">
        <v>24</v>
      </c>
      <c r="H2" s="174" t="s">
        <v>366</v>
      </c>
      <c r="I2" s="175"/>
      <c r="J2" s="175"/>
      <c r="K2" s="175"/>
      <c r="L2" s="175"/>
      <c r="M2" s="175"/>
      <c r="N2" s="175"/>
      <c r="O2" s="175"/>
      <c r="P2" s="175"/>
      <c r="Q2" s="175"/>
      <c r="R2" s="175"/>
      <c r="S2" s="175"/>
      <c r="T2" s="175"/>
      <c r="U2" s="175"/>
      <c r="V2" s="175"/>
      <c r="W2" s="175"/>
      <c r="X2" s="175"/>
      <c r="Y2" s="175"/>
      <c r="Z2" s="175"/>
    </row>
    <row r="3">
      <c r="A3" s="175"/>
      <c r="B3" s="175"/>
      <c r="C3" s="182" t="s">
        <v>22</v>
      </c>
      <c r="D3" s="174" t="s">
        <v>367</v>
      </c>
      <c r="E3" s="175"/>
      <c r="F3" s="175"/>
      <c r="G3" s="174" t="s">
        <v>368</v>
      </c>
      <c r="H3" s="174" t="s">
        <v>369</v>
      </c>
      <c r="I3" s="175"/>
      <c r="J3" s="175"/>
      <c r="K3" s="175"/>
      <c r="L3" s="175"/>
      <c r="M3" s="175"/>
      <c r="N3" s="175"/>
      <c r="O3" s="175"/>
      <c r="P3" s="175"/>
      <c r="Q3" s="175"/>
      <c r="R3" s="175"/>
      <c r="S3" s="175"/>
      <c r="T3" s="175"/>
      <c r="U3" s="175"/>
      <c r="V3" s="175"/>
      <c r="W3" s="175"/>
      <c r="X3" s="175"/>
      <c r="Y3" s="175"/>
      <c r="Z3" s="175"/>
    </row>
    <row r="4">
      <c r="A4" s="175"/>
      <c r="B4" s="175"/>
      <c r="C4" s="182" t="s">
        <v>23</v>
      </c>
      <c r="D4" s="174" t="s">
        <v>367</v>
      </c>
      <c r="E4" s="175"/>
      <c r="F4" s="175"/>
      <c r="G4" s="174" t="s">
        <v>370</v>
      </c>
      <c r="H4" s="174" t="s">
        <v>371</v>
      </c>
      <c r="I4" s="175"/>
      <c r="J4" s="175"/>
      <c r="K4" s="175"/>
      <c r="L4" s="175"/>
      <c r="M4" s="175"/>
      <c r="N4" s="175"/>
      <c r="O4" s="175"/>
      <c r="P4" s="175"/>
      <c r="Q4" s="175"/>
      <c r="R4" s="175"/>
      <c r="S4" s="175"/>
      <c r="T4" s="175"/>
      <c r="U4" s="175"/>
      <c r="V4" s="175"/>
      <c r="W4" s="175"/>
      <c r="X4" s="175"/>
      <c r="Y4" s="175"/>
      <c r="Z4" s="175"/>
    </row>
    <row r="5">
      <c r="A5" s="175"/>
      <c r="B5" s="175"/>
      <c r="C5" s="175"/>
      <c r="D5" s="175"/>
      <c r="E5" s="175"/>
      <c r="F5" s="175"/>
      <c r="G5" s="174" t="s">
        <v>27</v>
      </c>
      <c r="H5" s="174" t="s">
        <v>372</v>
      </c>
      <c r="I5" s="175"/>
      <c r="J5" s="175"/>
      <c r="K5" s="175"/>
      <c r="L5" s="175"/>
      <c r="M5" s="175"/>
      <c r="N5" s="175"/>
      <c r="O5" s="175"/>
      <c r="P5" s="175"/>
      <c r="Q5" s="175"/>
      <c r="R5" s="175"/>
      <c r="S5" s="175"/>
      <c r="T5" s="175"/>
      <c r="U5" s="175"/>
      <c r="V5" s="175"/>
      <c r="W5" s="175"/>
      <c r="X5" s="175"/>
      <c r="Y5" s="175"/>
      <c r="Z5" s="175"/>
    </row>
    <row r="6">
      <c r="A6" s="175"/>
      <c r="B6" s="174" t="s">
        <v>34</v>
      </c>
      <c r="C6" s="182" t="s">
        <v>21</v>
      </c>
      <c r="D6" s="174" t="s">
        <v>373</v>
      </c>
      <c r="E6" s="175"/>
      <c r="F6" s="175"/>
      <c r="G6" s="174" t="s">
        <v>28</v>
      </c>
      <c r="H6" s="174" t="s">
        <v>374</v>
      </c>
      <c r="I6" s="175"/>
      <c r="J6" s="175"/>
      <c r="K6" s="175"/>
      <c r="L6" s="175"/>
      <c r="M6" s="175"/>
      <c r="N6" s="175"/>
      <c r="O6" s="175"/>
      <c r="P6" s="175"/>
      <c r="Q6" s="175"/>
      <c r="R6" s="175"/>
      <c r="S6" s="175"/>
      <c r="T6" s="175"/>
      <c r="U6" s="175"/>
      <c r="V6" s="175"/>
      <c r="W6" s="175"/>
      <c r="X6" s="175"/>
      <c r="Y6" s="175"/>
      <c r="Z6" s="175"/>
    </row>
    <row r="7">
      <c r="A7" s="175"/>
      <c r="B7" s="175"/>
      <c r="C7" s="182" t="s">
        <v>22</v>
      </c>
      <c r="D7" s="174" t="s">
        <v>375</v>
      </c>
      <c r="E7" s="175"/>
      <c r="F7" s="175"/>
      <c r="G7" s="174" t="s">
        <v>29</v>
      </c>
      <c r="H7" s="174" t="s">
        <v>376</v>
      </c>
      <c r="I7" s="175"/>
      <c r="J7" s="175"/>
      <c r="K7" s="175"/>
      <c r="L7" s="175"/>
      <c r="M7" s="175"/>
      <c r="N7" s="175"/>
      <c r="O7" s="175"/>
      <c r="P7" s="175"/>
      <c r="Q7" s="175"/>
      <c r="R7" s="175"/>
      <c r="S7" s="175"/>
      <c r="T7" s="175"/>
      <c r="U7" s="175"/>
      <c r="V7" s="175"/>
      <c r="W7" s="175"/>
      <c r="X7" s="175"/>
      <c r="Y7" s="175"/>
      <c r="Z7" s="175"/>
    </row>
    <row r="8">
      <c r="A8" s="175"/>
      <c r="B8" s="175"/>
      <c r="C8" s="182" t="s">
        <v>23</v>
      </c>
      <c r="D8" s="174" t="s">
        <v>377</v>
      </c>
      <c r="E8" s="175"/>
      <c r="F8" s="175"/>
      <c r="G8" s="175"/>
      <c r="H8" s="175"/>
      <c r="I8" s="175"/>
      <c r="J8" s="175"/>
      <c r="K8" s="175"/>
      <c r="L8" s="175"/>
      <c r="M8" s="175"/>
      <c r="N8" s="175"/>
      <c r="O8" s="175"/>
      <c r="P8" s="175"/>
      <c r="Q8" s="175"/>
      <c r="R8" s="175"/>
      <c r="S8" s="175"/>
      <c r="T8" s="175"/>
      <c r="U8" s="175"/>
      <c r="V8" s="175"/>
      <c r="W8" s="175"/>
      <c r="X8" s="175"/>
      <c r="Y8" s="175"/>
      <c r="Z8" s="175"/>
    </row>
    <row r="9">
      <c r="A9" s="175"/>
      <c r="B9" s="175"/>
      <c r="C9" s="175"/>
      <c r="D9" s="175"/>
      <c r="E9" s="175"/>
      <c r="F9" s="175"/>
      <c r="G9" s="175"/>
      <c r="H9" s="175"/>
      <c r="I9" s="175"/>
      <c r="J9" s="175"/>
      <c r="K9" s="175"/>
      <c r="L9" s="175"/>
      <c r="M9" s="175"/>
      <c r="N9" s="175"/>
      <c r="O9" s="175"/>
      <c r="P9" s="175"/>
      <c r="Q9" s="175"/>
      <c r="R9" s="175"/>
      <c r="S9" s="175"/>
      <c r="T9" s="175"/>
      <c r="U9" s="175"/>
      <c r="V9" s="175"/>
      <c r="W9" s="175"/>
      <c r="X9" s="175"/>
      <c r="Y9" s="175"/>
      <c r="Z9" s="175"/>
    </row>
    <row r="10">
      <c r="A10" s="175"/>
      <c r="B10" s="174" t="s">
        <v>378</v>
      </c>
      <c r="C10" s="182" t="s">
        <v>21</v>
      </c>
      <c r="D10" s="174" t="s">
        <v>379</v>
      </c>
      <c r="E10" s="175"/>
      <c r="F10" s="175"/>
      <c r="G10" s="175"/>
      <c r="H10" s="175"/>
      <c r="I10" s="175"/>
      <c r="J10" s="175"/>
      <c r="K10" s="175"/>
      <c r="L10" s="175"/>
      <c r="M10" s="175"/>
      <c r="N10" s="175"/>
      <c r="O10" s="175"/>
      <c r="P10" s="175"/>
      <c r="Q10" s="175"/>
      <c r="R10" s="175"/>
      <c r="S10" s="175"/>
      <c r="T10" s="175"/>
      <c r="U10" s="175"/>
      <c r="V10" s="175"/>
      <c r="W10" s="175"/>
      <c r="X10" s="175"/>
      <c r="Y10" s="175"/>
      <c r="Z10" s="175"/>
    </row>
    <row r="11">
      <c r="A11" s="175"/>
      <c r="B11" s="175"/>
      <c r="C11" s="182" t="s">
        <v>22</v>
      </c>
      <c r="D11" s="174" t="s">
        <v>379</v>
      </c>
      <c r="E11" s="175"/>
      <c r="F11" s="175"/>
      <c r="G11" s="175"/>
      <c r="H11" s="175"/>
      <c r="I11" s="175"/>
      <c r="J11" s="175"/>
      <c r="K11" s="175"/>
      <c r="L11" s="175"/>
      <c r="M11" s="175"/>
      <c r="N11" s="175"/>
      <c r="O11" s="175"/>
      <c r="P11" s="175"/>
      <c r="Q11" s="175"/>
      <c r="R11" s="175"/>
      <c r="S11" s="175"/>
      <c r="T11" s="175"/>
      <c r="U11" s="175"/>
      <c r="V11" s="175"/>
      <c r="W11" s="175"/>
      <c r="X11" s="175"/>
      <c r="Y11" s="175"/>
      <c r="Z11" s="175"/>
    </row>
    <row r="12">
      <c r="A12" s="175"/>
      <c r="B12" s="175"/>
      <c r="C12" s="182" t="s">
        <v>23</v>
      </c>
      <c r="D12" s="174" t="s">
        <v>379</v>
      </c>
      <c r="E12" s="175"/>
      <c r="F12" s="175"/>
      <c r="G12" s="175"/>
      <c r="H12" s="175"/>
      <c r="I12" s="175"/>
      <c r="J12" s="175"/>
      <c r="K12" s="175"/>
      <c r="L12" s="175"/>
      <c r="M12" s="175"/>
      <c r="N12" s="175"/>
      <c r="O12" s="175"/>
      <c r="P12" s="175"/>
      <c r="Q12" s="175"/>
      <c r="R12" s="175"/>
      <c r="S12" s="175"/>
      <c r="T12" s="175"/>
      <c r="U12" s="175"/>
      <c r="V12" s="175"/>
      <c r="W12" s="175"/>
      <c r="X12" s="175"/>
      <c r="Y12" s="175"/>
      <c r="Z12" s="175"/>
    </row>
    <row r="13">
      <c r="A13" s="17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c r="A15" s="177" t="s">
        <v>380</v>
      </c>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c r="A17" s="183" t="s">
        <v>50</v>
      </c>
      <c r="B17" s="175"/>
      <c r="C17" s="174" t="s">
        <v>381</v>
      </c>
      <c r="D17" s="175"/>
      <c r="E17" s="175"/>
      <c r="F17" s="175"/>
      <c r="G17" s="175"/>
      <c r="H17" s="175"/>
      <c r="M17" s="175"/>
      <c r="N17" s="175"/>
      <c r="O17" s="175"/>
      <c r="P17" s="175"/>
      <c r="Q17" s="175"/>
      <c r="R17" s="175"/>
      <c r="S17" s="175"/>
      <c r="T17" s="175"/>
      <c r="U17" s="175"/>
      <c r="V17" s="175"/>
      <c r="W17" s="175"/>
      <c r="X17" s="175"/>
      <c r="Y17" s="175"/>
      <c r="Z17" s="175"/>
    </row>
    <row r="18">
      <c r="A18" s="183" t="s">
        <v>382</v>
      </c>
      <c r="B18" s="184">
        <v>100.0</v>
      </c>
      <c r="C18" s="174" t="s">
        <v>383</v>
      </c>
      <c r="D18" s="175"/>
      <c r="E18" s="175"/>
      <c r="F18" s="175"/>
      <c r="G18" s="175"/>
      <c r="H18" s="175"/>
      <c r="M18" s="175"/>
      <c r="N18" s="175"/>
      <c r="O18" s="175"/>
      <c r="P18" s="175"/>
      <c r="Q18" s="175"/>
      <c r="R18" s="175"/>
      <c r="S18" s="175"/>
      <c r="T18" s="175"/>
      <c r="U18" s="175"/>
      <c r="V18" s="175"/>
      <c r="W18" s="175"/>
      <c r="X18" s="175"/>
      <c r="Y18" s="175"/>
      <c r="Z18" s="175"/>
    </row>
    <row r="19">
      <c r="A19" s="183" t="s">
        <v>384</v>
      </c>
      <c r="B19" s="184">
        <v>1.46E-5</v>
      </c>
      <c r="C19" s="174" t="s">
        <v>385</v>
      </c>
      <c r="D19" s="175"/>
      <c r="E19" s="175"/>
      <c r="F19" s="175"/>
      <c r="G19" s="175"/>
      <c r="H19" s="175"/>
      <c r="M19" s="175"/>
      <c r="N19" s="175"/>
      <c r="O19" s="175"/>
      <c r="P19" s="175"/>
      <c r="Q19" s="175"/>
      <c r="R19" s="175"/>
      <c r="S19" s="175"/>
      <c r="T19" s="175"/>
      <c r="U19" s="175"/>
      <c r="V19" s="175"/>
      <c r="W19" s="175"/>
      <c r="X19" s="175"/>
      <c r="Y19" s="175"/>
      <c r="Z19" s="175"/>
    </row>
    <row r="20">
      <c r="A20" s="174" t="s">
        <v>386</v>
      </c>
      <c r="B20" s="184">
        <v>0.25</v>
      </c>
      <c r="C20" s="174" t="s">
        <v>387</v>
      </c>
      <c r="D20" s="175"/>
      <c r="E20" s="175"/>
      <c r="F20" s="175"/>
      <c r="G20" s="175"/>
      <c r="H20" s="175"/>
      <c r="M20" s="175"/>
      <c r="N20" s="175"/>
      <c r="O20" s="175"/>
      <c r="P20" s="175"/>
      <c r="Q20" s="175"/>
      <c r="R20" s="175"/>
      <c r="S20" s="175"/>
      <c r="T20" s="175"/>
      <c r="U20" s="175"/>
      <c r="V20" s="175"/>
      <c r="W20" s="175"/>
      <c r="X20" s="175"/>
      <c r="Y20" s="175"/>
      <c r="Z20" s="175"/>
    </row>
    <row r="21">
      <c r="A21" s="174" t="s">
        <v>388</v>
      </c>
      <c r="B21" s="184">
        <v>1.2</v>
      </c>
      <c r="C21" s="177" t="s">
        <v>389</v>
      </c>
      <c r="H21" s="175"/>
      <c r="M21" s="175"/>
      <c r="N21" s="175"/>
      <c r="O21" s="175"/>
      <c r="P21" s="175"/>
      <c r="Q21" s="175"/>
      <c r="R21" s="175"/>
      <c r="S21" s="175"/>
      <c r="T21" s="175"/>
      <c r="U21" s="175"/>
      <c r="V21" s="175"/>
      <c r="W21" s="175"/>
      <c r="X21" s="175"/>
      <c r="Y21" s="175"/>
      <c r="Z21" s="175"/>
    </row>
    <row r="22">
      <c r="A22" s="175"/>
      <c r="B22" s="184">
        <v>0.3</v>
      </c>
      <c r="C22" s="174" t="s">
        <v>390</v>
      </c>
      <c r="H22" s="175"/>
      <c r="M22" s="175"/>
      <c r="N22" s="175"/>
      <c r="O22" s="175"/>
      <c r="P22" s="175"/>
      <c r="Q22" s="175"/>
      <c r="R22" s="175"/>
      <c r="S22" s="175"/>
      <c r="T22" s="175"/>
      <c r="U22" s="175"/>
      <c r="V22" s="175"/>
      <c r="W22" s="175"/>
      <c r="X22" s="175"/>
      <c r="Y22" s="175"/>
      <c r="Z22" s="175"/>
    </row>
    <row r="23">
      <c r="A23" s="175"/>
      <c r="B23" s="175"/>
      <c r="C23" s="174"/>
      <c r="H23" s="175"/>
      <c r="I23" s="175"/>
      <c r="J23" s="175"/>
      <c r="K23" s="175"/>
      <c r="L23" s="175"/>
      <c r="M23" s="175"/>
      <c r="N23" s="175"/>
      <c r="O23" s="175"/>
      <c r="P23" s="175"/>
      <c r="Q23" s="175"/>
      <c r="R23" s="175"/>
      <c r="S23" s="175"/>
      <c r="T23" s="175"/>
      <c r="U23" s="175"/>
      <c r="V23" s="175"/>
      <c r="W23" s="175"/>
      <c r="X23" s="175"/>
      <c r="Y23" s="175"/>
      <c r="Z23" s="175"/>
    </row>
    <row r="24">
      <c r="A24" s="175"/>
      <c r="B24" s="175"/>
      <c r="C24" s="174"/>
      <c r="H24" s="175"/>
      <c r="I24" s="175"/>
      <c r="J24" s="175"/>
      <c r="K24" s="175"/>
      <c r="L24" s="175"/>
      <c r="M24" s="175"/>
      <c r="N24" s="175"/>
      <c r="O24" s="175"/>
      <c r="P24" s="175"/>
      <c r="Q24" s="175"/>
      <c r="R24" s="175"/>
      <c r="S24" s="175"/>
      <c r="T24" s="175"/>
      <c r="U24" s="175"/>
      <c r="V24" s="175"/>
      <c r="W24" s="175"/>
      <c r="X24" s="175"/>
      <c r="Y24" s="175"/>
      <c r="Z24" s="175"/>
    </row>
    <row r="25">
      <c r="A25" s="175"/>
      <c r="B25" s="175"/>
      <c r="C25" s="175"/>
      <c r="D25" s="175"/>
      <c r="E25" s="175"/>
      <c r="F25" s="174"/>
      <c r="G25" s="174"/>
      <c r="H25" s="175"/>
      <c r="I25" s="175"/>
      <c r="J25" s="175"/>
      <c r="K25" s="175"/>
      <c r="L25" s="175"/>
      <c r="M25" s="175"/>
      <c r="N25" s="175"/>
      <c r="O25" s="175"/>
      <c r="P25" s="175"/>
      <c r="Q25" s="175"/>
      <c r="R25" s="175"/>
      <c r="S25" s="175"/>
      <c r="T25" s="175"/>
      <c r="U25" s="175"/>
      <c r="V25" s="175"/>
      <c r="W25" s="175"/>
      <c r="X25" s="175"/>
      <c r="Y25" s="175"/>
      <c r="Z25" s="175"/>
    </row>
    <row r="26">
      <c r="A26" s="175"/>
      <c r="B26" s="174"/>
      <c r="C26" s="185" t="s">
        <v>48</v>
      </c>
      <c r="D26" s="185" t="s">
        <v>50</v>
      </c>
      <c r="E26" s="174"/>
      <c r="F26" s="174"/>
      <c r="G26" s="174"/>
      <c r="H26" s="175"/>
      <c r="I26" s="175"/>
      <c r="J26" s="175"/>
      <c r="K26" s="175"/>
      <c r="L26" s="175"/>
      <c r="M26" s="175"/>
      <c r="N26" s="175"/>
      <c r="O26" s="175"/>
      <c r="P26" s="175"/>
      <c r="Q26" s="175"/>
      <c r="R26" s="175"/>
      <c r="S26" s="175"/>
      <c r="T26" s="175"/>
      <c r="U26" s="175"/>
      <c r="V26" s="175"/>
      <c r="W26" s="175"/>
      <c r="X26" s="175"/>
      <c r="Y26" s="175"/>
      <c r="Z26" s="175"/>
    </row>
    <row r="27">
      <c r="A27" s="175"/>
      <c r="B27" s="174" t="s">
        <v>31</v>
      </c>
      <c r="C27" s="174" t="s">
        <v>391</v>
      </c>
      <c r="D27" s="174" t="s">
        <v>392</v>
      </c>
      <c r="E27" s="174"/>
      <c r="F27" s="175"/>
      <c r="G27" s="175"/>
      <c r="H27" s="175"/>
      <c r="I27" s="175"/>
      <c r="J27" s="175"/>
      <c r="K27" s="175"/>
      <c r="L27" s="175"/>
      <c r="M27" s="175"/>
      <c r="N27" s="175"/>
      <c r="O27" s="175"/>
      <c r="P27" s="175"/>
      <c r="Q27" s="175"/>
      <c r="R27" s="175"/>
      <c r="S27" s="175"/>
      <c r="T27" s="175"/>
      <c r="U27" s="175"/>
      <c r="V27" s="175"/>
      <c r="W27" s="175"/>
      <c r="X27" s="175"/>
      <c r="Y27" s="175"/>
      <c r="Z27" s="175"/>
    </row>
    <row r="28">
      <c r="A28" s="175"/>
      <c r="B28" s="174" t="s">
        <v>34</v>
      </c>
      <c r="C28" s="174" t="s">
        <v>393</v>
      </c>
      <c r="D28" s="174" t="s">
        <v>394</v>
      </c>
      <c r="E28" s="174"/>
      <c r="F28" s="175"/>
      <c r="G28" s="175"/>
      <c r="H28" s="175"/>
      <c r="I28" s="175"/>
      <c r="J28" s="175"/>
      <c r="K28" s="175"/>
      <c r="L28" s="175"/>
      <c r="M28" s="175"/>
      <c r="N28" s="175"/>
      <c r="O28" s="175"/>
      <c r="P28" s="175"/>
      <c r="Q28" s="175"/>
      <c r="R28" s="175"/>
      <c r="S28" s="175"/>
      <c r="T28" s="175"/>
      <c r="U28" s="175"/>
      <c r="V28" s="175"/>
      <c r="W28" s="175"/>
      <c r="X28" s="175"/>
      <c r="Y28" s="175"/>
      <c r="Z28" s="175"/>
    </row>
    <row r="29">
      <c r="A29" s="175"/>
      <c r="C29" s="185" t="s">
        <v>61</v>
      </c>
      <c r="D29" s="174"/>
      <c r="E29" s="174"/>
      <c r="F29" s="175"/>
      <c r="G29" s="175"/>
      <c r="H29" s="175"/>
      <c r="I29" s="175"/>
      <c r="J29" s="175"/>
      <c r="K29" s="175"/>
      <c r="L29" s="175"/>
      <c r="M29" s="175"/>
      <c r="N29" s="175"/>
      <c r="O29" s="175"/>
      <c r="P29" s="175"/>
      <c r="Q29" s="175"/>
      <c r="R29" s="175"/>
      <c r="S29" s="175"/>
      <c r="T29" s="175"/>
      <c r="U29" s="175"/>
      <c r="V29" s="175"/>
      <c r="W29" s="175"/>
      <c r="X29" s="175"/>
      <c r="Y29" s="175"/>
      <c r="Z29" s="175"/>
    </row>
    <row r="30">
      <c r="A30" s="175"/>
      <c r="B30" s="174" t="s">
        <v>395</v>
      </c>
      <c r="C30" s="174" t="s">
        <v>396</v>
      </c>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row r="975">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row>
    <row r="976">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row>
    <row r="977">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row>
    <row r="978">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row>
    <row r="979">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row>
    <row r="980">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row>
    <row r="98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row>
    <row r="982">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row>
    <row r="983">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row>
    <row r="984">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row>
    <row r="985">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row>
    <row r="986">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row>
    <row r="987">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row>
    <row r="988">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row>
    <row r="989">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row>
    <row r="990">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row>
    <row r="99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row>
    <row r="992">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row>
    <row r="993">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row>
    <row r="994">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row>
    <row r="995">
      <c r="A995" s="175"/>
      <c r="B995" s="175"/>
      <c r="C995" s="175"/>
      <c r="D995" s="175"/>
      <c r="E995" s="175"/>
      <c r="F995" s="175"/>
      <c r="G995" s="175"/>
      <c r="H995" s="175"/>
      <c r="I995" s="175"/>
      <c r="J995" s="175"/>
      <c r="K995" s="175"/>
      <c r="L995" s="175"/>
      <c r="M995" s="175"/>
      <c r="N995" s="175"/>
      <c r="O995" s="175"/>
      <c r="P995" s="175"/>
      <c r="Q995" s="175"/>
      <c r="R995" s="175"/>
      <c r="S995" s="175"/>
      <c r="T995" s="175"/>
      <c r="U995" s="175"/>
      <c r="V995" s="175"/>
      <c r="W995" s="175"/>
      <c r="X995" s="175"/>
      <c r="Y995" s="175"/>
      <c r="Z995" s="175"/>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