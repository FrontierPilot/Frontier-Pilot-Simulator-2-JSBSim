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arab config xml" sheetId="1" r:id="rId4"/>
    <sheet state="visible" name="Calculation" sheetId="2" r:id="rId5"/>
    <sheet state="visible" name="Formuls " sheetId="3" r:id="rId6"/>
    <sheet state="visible" name="plane aero xml" sheetId="4" r:id="rId7"/>
  </sheets>
  <definedNames/>
  <calcPr/>
  <extLst>
    <ext uri="GoogleSheetsCustomDataVersion2">
      <go:sheetsCustomData xmlns:go="http://customooxmlschemas.google.com/" r:id="rId8" roundtripDataChecksum="taVBZFniEuAOlFfmvCNVgrKxJ84nJedh6O6LzK85cL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3">
      <text>
        <t xml:space="preserve">Radius or Height
======</t>
      </text>
    </comment>
    <comment authorId="0" ref="D4">
      <text>
        <t xml:space="preserve">= L/2
======</t>
      </text>
    </comment>
    <comment authorId="0" ref="D5">
      <text>
        <t xml:space="preserve">L  Hull  + L /2
======</t>
      </text>
    </comment>
    <comment authorId="0" ref="H6">
      <text>
        <t xml:space="preserve">Maximum Thickness
======</t>
      </text>
    </comment>
    <comment authorId="0" ref="G11">
      <text>
        <t xml:space="preserve">Wheel Width
======</t>
      </text>
    </comment>
    <comment authorId="0" ref="H11">
      <text>
        <t xml:space="preserve">Wheel Radius
======</t>
      </text>
    </comment>
    <comment authorId="0" ref="G12">
      <text>
        <t xml:space="preserve">Wheel Width
======</t>
      </text>
    </comment>
    <comment authorId="0" ref="H12">
      <text>
        <t xml:space="preserve">Wheel Radius
======</t>
      </text>
    </comment>
    <comment authorId="0" ref="G13">
      <text>
        <t xml:space="preserve">Wheel Width
======</t>
      </text>
    </comment>
    <comment authorId="0" ref="H13">
      <text>
        <t xml:space="preserve">Wheel Radius
======</t>
      </text>
    </comment>
    <comment authorId="0" ref="G14">
      <text>
        <t xml:space="preserve">Wheel Width
======</t>
      </text>
    </comment>
    <comment authorId="0" ref="H14">
      <text>
        <t xml:space="preserve">Wheel Radius
======</t>
      </text>
    </comment>
  </commentList>
</comments>
</file>

<file path=xl/sharedStrings.xml><?xml version="1.0" encoding="utf-8"?>
<sst xmlns="http://schemas.openxmlformats.org/spreadsheetml/2006/main" count="344" uniqueCount="192">
  <si>
    <t>&lt;!--</t>
  </si>
  <si>
    <t>Don't Edit!</t>
  </si>
  <si>
    <t>--&gt;</t>
  </si>
  <si>
    <t>&lt;metrics&gt;</t>
  </si>
  <si>
    <t>&lt;wingarea unit="M2"&gt;</t>
  </si>
  <si>
    <t>&lt;/wingarea&gt;</t>
  </si>
  <si>
    <t>&lt;wingspan unit="M"&gt;</t>
  </si>
  <si>
    <t>&lt;/wingspan&gt;</t>
  </si>
  <si>
    <t>&lt;chord unit="M"&gt;</t>
  </si>
  <si>
    <t>&lt;/chord&gt;</t>
  </si>
  <si>
    <t>&lt;htailarea unit="M2"&gt;</t>
  </si>
  <si>
    <t>&lt;/htailarea&gt;</t>
  </si>
  <si>
    <t>&lt;htailarm unit="M"&gt;</t>
  </si>
  <si>
    <t>&lt;/htailarm&gt;</t>
  </si>
  <si>
    <t>&lt;vtailarea unit="M2"&gt;</t>
  </si>
  <si>
    <t>&lt;/vtailarea&gt;</t>
  </si>
  <si>
    <t>&lt;vtailarm unit="M"&gt;</t>
  </si>
  <si>
    <t>&lt;/vtailarm&gt;</t>
  </si>
  <si>
    <t>&lt;location name="AERORP" unit="M"&gt;</t>
  </si>
  <si>
    <t>&lt;x&gt;</t>
  </si>
  <si>
    <t>&lt;/x&gt;</t>
  </si>
  <si>
    <t>&lt;y&gt;</t>
  </si>
  <si>
    <t>&lt;/y&gt;</t>
  </si>
  <si>
    <t>&lt;z&gt;</t>
  </si>
  <si>
    <t>&lt;/z&gt;</t>
  </si>
  <si>
    <t>&lt;/location&gt;</t>
  </si>
  <si>
    <t>&lt;location name="EYEPOINT" unit="M"&gt;</t>
  </si>
  <si>
    <t>&lt;location name="VRP" unit="M"&gt;</t>
  </si>
  <si>
    <t>&lt;/metrics&gt;</t>
  </si>
  <si>
    <t>&lt;mass_balance&gt;</t>
  </si>
  <si>
    <t>&lt;ixx unit="KG*M2"&gt;</t>
  </si>
  <si>
    <t>&lt;/ixx&gt;</t>
  </si>
  <si>
    <t>&lt;iyy unit="KG*M2"&gt;</t>
  </si>
  <si>
    <t>&lt;/iyy&gt;</t>
  </si>
  <si>
    <t>&lt;izz unit="KG*M2"&gt;</t>
  </si>
  <si>
    <t>&lt;/izz&gt;</t>
  </si>
  <si>
    <t>&lt;ixy unit="KG*M2"&gt;</t>
  </si>
  <si>
    <t>&lt;/ixy&gt;</t>
  </si>
  <si>
    <t>&lt;ixz unit="KG*M2"&gt;</t>
  </si>
  <si>
    <t>&lt;/ixz&gt;</t>
  </si>
  <si>
    <t xml:space="preserve">&lt;iyz unit="KG*M2"&gt; </t>
  </si>
  <si>
    <t>&lt;/iyz&gt;</t>
  </si>
  <si>
    <t>&lt;emptywt unit="KG"&gt;</t>
  </si>
  <si>
    <t>&lt;/emptywt&gt;</t>
  </si>
  <si>
    <t>&lt;location name="CG" unit="M"&gt;</t>
  </si>
  <si>
    <t>&lt;/mass_balance&gt;</t>
  </si>
  <si>
    <t>Location local CG</t>
  </si>
  <si>
    <t>Moment of mass</t>
  </si>
  <si>
    <t xml:space="preserve">Location mass of CG </t>
  </si>
  <si>
    <t>Local Moment of Inertia</t>
  </si>
  <si>
    <t>Component's Total Contribution</t>
  </si>
  <si>
    <t>Component</t>
  </si>
  <si>
    <t>Shape</t>
  </si>
  <si>
    <t>Mass (kg)</t>
  </si>
  <si>
    <t>x</t>
  </si>
  <si>
    <t>y</t>
  </si>
  <si>
    <t>z</t>
  </si>
  <si>
    <t>L</t>
  </si>
  <si>
    <t>R/H</t>
  </si>
  <si>
    <t>Hord</t>
  </si>
  <si>
    <t>Span</t>
  </si>
  <si>
    <t>М_x</t>
  </si>
  <si>
    <t>М_y</t>
  </si>
  <si>
    <t>М_z</t>
  </si>
  <si>
    <t>x'</t>
  </si>
  <si>
    <t>y'</t>
  </si>
  <si>
    <t>z'</t>
  </si>
  <si>
    <t xml:space="preserve">Ixx_local </t>
  </si>
  <si>
    <t xml:space="preserve">Iyy_local </t>
  </si>
  <si>
    <t xml:space="preserve">Izz_local </t>
  </si>
  <si>
    <t>Ixx</t>
  </si>
  <si>
    <t>Iyy</t>
  </si>
  <si>
    <t>Izz</t>
  </si>
  <si>
    <t>Ixy</t>
  </si>
  <si>
    <t>Ixz</t>
  </si>
  <si>
    <t>Iyz</t>
  </si>
  <si>
    <t>Hull</t>
  </si>
  <si>
    <t>Cylinder</t>
  </si>
  <si>
    <t>Tail</t>
  </si>
  <si>
    <t>Wings</t>
  </si>
  <si>
    <t>Plate</t>
  </si>
  <si>
    <t>Engine_FR</t>
  </si>
  <si>
    <t>Engine_FL</t>
  </si>
  <si>
    <t>Tank_FR</t>
  </si>
  <si>
    <t>Tank_FL</t>
  </si>
  <si>
    <t>Gear_FR</t>
  </si>
  <si>
    <t>Point</t>
  </si>
  <si>
    <t>Gear_FL</t>
  </si>
  <si>
    <t>Gear_TR</t>
  </si>
  <si>
    <t>Gear_TL</t>
  </si>
  <si>
    <t>Total:</t>
  </si>
  <si>
    <t>aero/coefficient/CDo</t>
  </si>
  <si>
    <t>Wetted Area</t>
  </si>
  <si>
    <t>S(wet)/(Swings)</t>
  </si>
  <si>
    <t>Re</t>
  </si>
  <si>
    <t>Schlichting's</t>
  </si>
  <si>
    <t>Form Factor (FF)</t>
  </si>
  <si>
    <t>CDo</t>
  </si>
  <si>
    <t>face</t>
  </si>
  <si>
    <t>face/(Swings)</t>
  </si>
  <si>
    <t>All in One</t>
  </si>
  <si>
    <t>aero/coefficient/CDbeta</t>
  </si>
  <si>
    <t>Multiplier</t>
  </si>
  <si>
    <t>CDbeta</t>
  </si>
  <si>
    <t>aero/coefficient/CDDe</t>
  </si>
  <si>
    <t>Elevator</t>
  </si>
  <si>
    <t>inertia</t>
  </si>
  <si>
    <t xml:space="preserve"> 0.5 * M * R²</t>
  </si>
  <si>
    <t>Ixx_local + M*(y'²+z'²)</t>
  </si>
  <si>
    <t>(1/12) * M * (3*R² + L²)</t>
  </si>
  <si>
    <t xml:space="preserve">Iyy </t>
  </si>
  <si>
    <t>Iyy_local + M*(x'²+z'²)</t>
  </si>
  <si>
    <t xml:space="preserve">Izz </t>
  </si>
  <si>
    <t>Izz_local + M*(x'²+y'²)</t>
  </si>
  <si>
    <t>M*x'*y'</t>
  </si>
  <si>
    <t>(1/12) * M * Span²</t>
  </si>
  <si>
    <t>M*x'*z'</t>
  </si>
  <si>
    <t>(1/12) * M * Hord²</t>
  </si>
  <si>
    <t>M*y'*z'</t>
  </si>
  <si>
    <t>(1/12) * M * (Span² + Hord²)</t>
  </si>
  <si>
    <t>Сube</t>
  </si>
  <si>
    <t>(1/12) * M * (L² + H ²)</t>
  </si>
  <si>
    <t>Zero-lift Drag Coefficient</t>
  </si>
  <si>
    <t>Reynolds number</t>
  </si>
  <si>
    <t>V</t>
  </si>
  <si>
    <t>m/s  This is a representative velocity used only to calculate the Reynolds Number (Re).</t>
  </si>
  <si>
    <t>ν</t>
  </si>
  <si>
    <t>Kinematic viscosity of air</t>
  </si>
  <si>
    <t>C(base)</t>
  </si>
  <si>
    <r>
      <rPr>
        <rFont val="Calibri"/>
        <b/>
        <color theme="1"/>
        <sz val="12.0"/>
      </rPr>
      <t xml:space="preserve">Basic Rotating Wheel </t>
    </r>
    <r>
      <rPr>
        <rFont val="Calibri"/>
        <color theme="1"/>
        <sz val="12.0"/>
      </rPr>
      <t>Empirical Zero-Lift Drag Coefficient for a single wheel (accounts for rotation).</t>
    </r>
  </si>
  <si>
    <t>Eta</t>
  </si>
  <si>
    <r>
      <rPr>
        <rFont val="Calibri"/>
        <b/>
        <color theme="1"/>
        <sz val="12.0"/>
      </rPr>
      <t xml:space="preserve">Interference Factor </t>
    </r>
    <r>
      <rPr>
        <rFont val="Calibri"/>
        <b val="0"/>
        <color theme="1"/>
        <sz val="12.0"/>
      </rPr>
      <t>Accounts for the drag contribution from the complex geometry of the axle, brake assembly, and strut attachment.</t>
    </r>
  </si>
  <si>
    <t>Shadowing/Shielding Factor Reduction factor for the downstream wheel pair. Assumes the rear wheels experience 
30%  of the frontal drag of the forward wheels.</t>
  </si>
  <si>
    <t>PI  * 2R * L</t>
  </si>
  <si>
    <t>(V * L) / ν</t>
  </si>
  <si>
    <t>2 * wingarea</t>
  </si>
  <si>
    <t>(V * chord) / ν</t>
  </si>
  <si>
    <t>Whell</t>
  </si>
  <si>
    <t>2 * 2R *Wheel Width</t>
  </si>
  <si>
    <t>&lt;function name="aero/function/kCLge"&gt;</t>
  </si>
  <si>
    <t>&lt;description&gt;Change_in_lift_due_to_ground_effect&lt;/description&gt;</t>
  </si>
  <si>
    <t>&lt;table&gt;</t>
  </si>
  <si>
    <t>&lt;independentVar&gt;aero/h_b-mac-ft&lt;/independentVar&gt;</t>
  </si>
  <si>
    <t>&lt;tableData&gt;</t>
  </si>
  <si>
    <t>&lt;/tableData&gt;</t>
  </si>
  <si>
    <t>&lt;/table&gt;</t>
  </si>
  <si>
    <t>&lt;/function&gt;</t>
  </si>
  <si>
    <t>&lt;axis name="DRAG"&gt;</t>
  </si>
  <si>
    <t>&lt;function name="aero/coefficient/CDo"&gt;</t>
  </si>
  <si>
    <t>&lt;description&gt;Drag_at_zero_lift&lt;/description&gt;</t>
  </si>
  <si>
    <t>&lt;product&gt;</t>
  </si>
  <si>
    <t>&lt;property&gt;aero/qbar-psf&lt;/property&gt;</t>
  </si>
  <si>
    <t>&lt;property&gt;metrics/Sw-sqft&lt;/property&gt;</t>
  </si>
  <si>
    <t>&lt;value&gt;</t>
  </si>
  <si>
    <t>&lt;/value&gt;</t>
  </si>
  <si>
    <t>&lt;/product&gt;</t>
  </si>
  <si>
    <t>&lt;function name="aero/coefficient/CDalpha"&gt;</t>
  </si>
  <si>
    <t>&lt;description&gt;Drag_due_to_alpha&lt;/description&gt;</t>
  </si>
  <si>
    <t>&lt;independentVar&gt;aero/alpha-rad&lt;/independentVar&gt;</t>
  </si>
  <si>
    <t>&lt;function name="aero/coefficient/CDbeta"&gt;</t>
  </si>
  <si>
    <t>&lt;description&gt;Drag_due_to_sideslip&lt;/description&gt;</t>
  </si>
  <si>
    <t>&lt;property&gt;aero/mag-beta-rad&lt;/property&gt;</t>
  </si>
  <si>
    <t>&lt;function name="aero/coefficient/CDDf"&gt;</t>
  </si>
  <si>
    <t>&lt;description&gt;Drag_due_to_flap_deflection&lt;/description&gt;</t>
  </si>
  <si>
    <t>&lt;independentVar lookup="row"&gt;aero/alpha-rad&lt;/independentVar&gt;</t>
  </si>
  <si>
    <t>&lt;independentVar lookup="column"&gt;fcs/flap-pos-deg&lt;/independentVar&gt;</t>
  </si>
  <si>
    <t>&lt;function name="aero/coefficient/CDDe"&gt;</t>
  </si>
  <si>
    <t>&lt;description&gt;Drag_due_to_Elevator_Deflection&lt;/description&gt;</t>
  </si>
  <si>
    <t>&lt;property&gt;fcs/mag-elevator-pos-rad&lt;/property&gt;</t>
  </si>
  <si>
    <t>&lt;/axis&gt;</t>
  </si>
  <si>
    <t>&lt;axis name="LIFT"&gt;</t>
  </si>
  <si>
    <t>&lt;function name="aero/coefficient/CLo"&gt;</t>
  </si>
  <si>
    <t>&lt;description&gt;Lift_at_zero_alpha&lt;/description&gt;</t>
  </si>
  <si>
    <t>&lt;property&gt;aero/function/kCLge&lt;/property&gt;</t>
  </si>
  <si>
    <t>&lt;function name="aero/coefficient/CLalpha"&gt;</t>
  </si>
  <si>
    <t>&lt;description&gt;Lift_due_to_alpha&lt;/description&gt;</t>
  </si>
  <si>
    <t>&lt;function name="aero/coefficient/CLDf"&gt;</t>
  </si>
  <si>
    <t>&lt;description&gt;Lift_due_to_flap_deflection&lt;/description&gt;</t>
  </si>
  <si>
    <t>&lt;independentVar&gt;fcs/flap-pos-deg&lt;/independentVar&gt;</t>
  </si>
  <si>
    <t>&lt;function name="aero/coefficient/CLadot"&gt;</t>
  </si>
  <si>
    <t>&lt;description&gt;Lift_due_to_alpha_rate&lt;/description&gt;</t>
  </si>
  <si>
    <t>&lt;property&gt;aero/alphadot-rad_sec&lt;/property&gt;</t>
  </si>
  <si>
    <t>&lt;property&gt;aero/ci2vel&lt;/property&gt;</t>
  </si>
  <si>
    <t>&lt;value&gt;1.7000&lt;/value&gt;</t>
  </si>
  <si>
    <t>&lt;function name="aero/coefficient/CLq"&gt;</t>
  </si>
  <si>
    <t>&lt;description&gt;Lift_due_to_pitch_rate&lt;/description&gt;</t>
  </si>
  <si>
    <t>&lt;property&gt;velocities/q-aero-rad_sec&lt;/property&gt;</t>
  </si>
  <si>
    <t>&lt;value&gt;3.9000&lt;/value&gt;</t>
  </si>
  <si>
    <t>&lt;function name="aero/coefficient/CLDe"&gt;</t>
  </si>
  <si>
    <t>&lt;description&gt;Lift_due_to_elevator_deflection&lt;/description&gt;</t>
  </si>
  <si>
    <t>&lt;property&gt;fcs/elevator-pos-rad&lt;/property&gt;</t>
  </si>
  <si>
    <t>&lt;value&gt;0.4300&lt;/value&gt;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</si>
</sst>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0.000"/>
    <numFmt numFmtId="166" formatCode="0.000000"/>
    <numFmt numFmtId="167" formatCode="0.00000"/>
    <numFmt numFmtId="168" formatCode="0.0000"/>
  </numFmts>
  <fonts count="13">
    <font>
      <sz val="11.0"/>
      <color theme="1"/>
      <name val="Calibri"/>
      <scheme val="minor"/>
    </font>
    <font>
      <color theme="1"/>
      <name val="Calibri"/>
    </font>
    <font>
      <b/>
      <color rgb="FFFFFFFF"/>
      <name val="Calibri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0.0"/>
      <color theme="1"/>
      <name val="Verdana"/>
    </font>
    <font>
      <b/>
      <sz val="10.0"/>
      <color theme="1"/>
      <name val="Verdana"/>
    </font>
    <font/>
    <font>
      <strike/>
      <sz val="10.0"/>
      <color theme="1"/>
      <name val="Verdana"/>
    </font>
    <font>
      <b/>
      <sz val="12.0"/>
      <color theme="1"/>
      <name val="Calibri"/>
    </font>
    <font>
      <sz val="12.0"/>
      <color theme="1"/>
      <name val="Calibri"/>
    </font>
    <font>
      <b/>
      <sz val="12.0"/>
      <color rgb="FFFFFFFF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" xfId="0" applyAlignment="1" applyFill="1" applyFont="1" applyNumberFormat="1">
      <alignment horizontal="center"/>
    </xf>
    <xf borderId="0" fillId="0" fontId="1" numFmtId="0" xfId="0" applyFont="1"/>
    <xf borderId="0" fillId="2" fontId="2" numFmtId="2" xfId="0" applyAlignment="1" applyFont="1" applyNumberFormat="1">
      <alignment horizontal="center"/>
    </xf>
    <xf borderId="0" fillId="0" fontId="3" numFmtId="2" xfId="0" applyAlignment="1" applyFont="1" applyNumberFormat="1">
      <alignment horizontal="center" readingOrder="0"/>
    </xf>
    <xf borderId="0" fillId="0" fontId="4" numFmtId="2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6" numFmtId="0" xfId="0" applyAlignment="1" applyFont="1">
      <alignment horizontal="center"/>
    </xf>
    <xf borderId="1" fillId="0" fontId="7" numFmtId="0" xfId="0" applyAlignment="1" applyBorder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0" fontId="6" numFmtId="0" xfId="0" applyAlignment="1" applyFont="1">
      <alignment horizontal="center" readingOrder="0" shrinkToFit="0" vertical="center" wrapText="0"/>
    </xf>
    <xf borderId="4" fillId="0" fontId="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center" readingOrder="0" shrinkToFit="0" vertical="center" wrapText="0"/>
    </xf>
    <xf borderId="6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2" fillId="0" fontId="6" numFmtId="0" xfId="0" applyAlignment="1" applyBorder="1" applyFont="1">
      <alignment horizontal="center" readingOrder="0" shrinkToFit="0" vertical="center" wrapText="0"/>
    </xf>
    <xf borderId="3" fillId="0" fontId="6" numFmtId="0" xfId="0" applyAlignment="1" applyBorder="1" applyFon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center" wrapText="0"/>
    </xf>
    <xf borderId="7" fillId="0" fontId="6" numFmtId="1" xfId="0" applyAlignment="1" applyBorder="1" applyFont="1" applyNumberFormat="1">
      <alignment horizontal="center" readingOrder="0" shrinkToFit="0" vertical="center" wrapText="0"/>
    </xf>
    <xf borderId="5" fillId="0" fontId="6" numFmtId="2" xfId="0" applyAlignment="1" applyBorder="1" applyFont="1" applyNumberForma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center" wrapText="0"/>
    </xf>
    <xf borderId="6" fillId="0" fontId="6" numFmtId="2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2" xfId="0" applyAlignment="1" applyFont="1" applyNumberFormat="1">
      <alignment horizontal="center" readingOrder="0" shrinkToFit="0" vertical="center" wrapText="0"/>
    </xf>
    <xf borderId="0" fillId="0" fontId="6" numFmtId="164" xfId="0" applyAlignment="1" applyFont="1" applyNumberFormat="1">
      <alignment horizontal="center" readingOrder="0" shrinkToFit="0" vertical="center" wrapText="0"/>
    </xf>
    <xf borderId="0" fillId="0" fontId="6" numFmtId="1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2" xfId="0" applyAlignment="1" applyFont="1" applyNumberFormat="1">
      <alignment horizontal="center" readingOrder="0" shrinkToFit="0" vertical="center" wrapText="0"/>
    </xf>
    <xf borderId="0" fillId="0" fontId="6" numFmtId="164" xfId="0" applyAlignment="1" applyFont="1" applyNumberFormat="1">
      <alignment horizontal="center" readingOrder="0" shrinkToFit="0" vertical="center" wrapText="0"/>
    </xf>
    <xf borderId="6" fillId="0" fontId="6" numFmtId="2" xfId="0" applyAlignment="1" applyBorder="1" applyFont="1" applyNumberFormat="1">
      <alignment horizontal="center" readingOrder="0" shrinkToFit="0" vertical="center" wrapText="0"/>
    </xf>
    <xf borderId="5" fillId="0" fontId="6" numFmtId="2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2" fontId="2" numFmtId="2" xfId="0" applyAlignment="1" applyFont="1" applyNumberFormat="1">
      <alignment horizontal="center" shrinkToFit="0" vertical="center" wrapText="0"/>
    </xf>
    <xf borderId="0" fillId="2" fontId="2" numFmtId="164" xfId="0" applyAlignment="1" applyFont="1" applyNumberFormat="1">
      <alignment horizontal="center" shrinkToFit="0" vertical="center" wrapText="0"/>
    </xf>
    <xf borderId="8" fillId="0" fontId="6" numFmtId="2" xfId="0" applyAlignment="1" applyBorder="1" applyFont="1" applyNumberFormat="1">
      <alignment horizontal="center" readingOrder="0" shrinkToFit="0" vertical="center" wrapText="0"/>
    </xf>
    <xf borderId="9" fillId="0" fontId="6" numFmtId="164" xfId="0" applyAlignment="1" applyBorder="1" applyFont="1" applyNumberFormat="1">
      <alignment horizontal="center" readingOrder="0" shrinkToFit="0" vertical="center" wrapText="0"/>
    </xf>
    <xf borderId="10" fillId="0" fontId="6" numFmtId="2" xfId="0" applyAlignment="1" applyBorder="1" applyFont="1" applyNumberFormat="1">
      <alignment horizontal="center" readingOrder="0"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2" xfId="0" applyAlignment="1" applyFont="1" applyNumberFormat="1">
      <alignment readingOrder="0" shrinkToFit="0" vertical="center" wrapText="0"/>
    </xf>
    <xf borderId="11" fillId="0" fontId="6" numFmtId="1" xfId="0" applyAlignment="1" applyBorder="1" applyFont="1" applyNumberFormat="1">
      <alignment horizontal="center" readingOrder="0" shrinkToFit="0" vertical="center" wrapText="0"/>
    </xf>
    <xf borderId="12" fillId="3" fontId="7" numFmtId="2" xfId="0" applyAlignment="1" applyBorder="1" applyFill="1" applyFont="1" applyNumberFormat="1">
      <alignment horizontal="center" readingOrder="0" shrinkToFit="0" vertical="center" wrapText="0"/>
    </xf>
    <xf borderId="13" fillId="3" fontId="7" numFmtId="164" xfId="0" applyAlignment="1" applyBorder="1" applyFont="1" applyNumberFormat="1">
      <alignment horizontal="center" readingOrder="0" shrinkToFit="0" vertical="center" wrapText="0"/>
    </xf>
    <xf borderId="14" fillId="3" fontId="7" numFmtId="2" xfId="0" applyAlignment="1" applyBorder="1" applyFont="1" applyNumberFormat="1">
      <alignment horizontal="center" readingOrder="0" shrinkToFit="0" vertical="center" wrapText="0"/>
    </xf>
    <xf borderId="0" fillId="0" fontId="6" numFmtId="1" xfId="0" applyAlignment="1" applyFont="1" applyNumberFormat="1">
      <alignment horizontal="center" readingOrder="0" shrinkToFit="0" vertical="center" wrapText="0"/>
    </xf>
    <xf borderId="12" fillId="3" fontId="7" numFmtId="1" xfId="0" applyAlignment="1" applyBorder="1" applyFont="1" applyNumberFormat="1">
      <alignment horizontal="center" readingOrder="0" shrinkToFit="0" vertical="center" wrapText="0"/>
    </xf>
    <xf borderId="13" fillId="3" fontId="7" numFmtId="1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2" xfId="0" applyAlignment="1" applyFont="1" applyNumberForma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6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4" fontId="6" numFmtId="0" xfId="0" applyFill="1" applyFont="1"/>
    <xf borderId="0" fillId="4" fontId="6" numFmtId="2" xfId="0" applyAlignment="1" applyFont="1" applyNumberFormat="1">
      <alignment horizontal="center"/>
    </xf>
    <xf borderId="0" fillId="4" fontId="6" numFmtId="165" xfId="0" applyAlignment="1" applyFont="1" applyNumberFormat="1">
      <alignment horizontal="center"/>
    </xf>
    <xf borderId="0" fillId="4" fontId="6" numFmtId="166" xfId="0" applyAlignment="1" applyFont="1" applyNumberFormat="1">
      <alignment horizontal="center"/>
    </xf>
    <xf borderId="0" fillId="4" fontId="6" numFmtId="167" xfId="0" applyAlignment="1" applyFont="1" applyNumberFormat="1">
      <alignment horizontal="center"/>
    </xf>
    <xf borderId="0" fillId="4" fontId="6" numFmtId="0" xfId="0" applyAlignment="1" applyFont="1">
      <alignment horizontal="center"/>
    </xf>
    <xf borderId="0" fillId="5" fontId="6" numFmtId="0" xfId="0" applyAlignment="1" applyFill="1" applyFont="1">
      <alignment readingOrder="0"/>
    </xf>
    <xf borderId="0" fillId="5" fontId="9" numFmtId="2" xfId="0" applyAlignment="1" applyFont="1" applyNumberFormat="1">
      <alignment horizontal="center"/>
    </xf>
    <xf borderId="0" fillId="5" fontId="9" numFmtId="165" xfId="0" applyAlignment="1" applyFont="1" applyNumberFormat="1">
      <alignment horizontal="center"/>
    </xf>
    <xf borderId="0" fillId="5" fontId="9" numFmtId="166" xfId="0" applyAlignment="1" applyFont="1" applyNumberFormat="1">
      <alignment horizontal="center"/>
    </xf>
    <xf borderId="0" fillId="5" fontId="6" numFmtId="165" xfId="0" applyAlignment="1" applyFont="1" applyNumberFormat="1">
      <alignment horizontal="center" readingOrder="0"/>
    </xf>
    <xf borderId="0" fillId="5" fontId="6" numFmtId="167" xfId="0" applyAlignment="1" applyFont="1" applyNumberFormat="1">
      <alignment horizontal="center"/>
    </xf>
    <xf borderId="0" fillId="5" fontId="6" numFmtId="0" xfId="0" applyAlignment="1" applyFont="1">
      <alignment horizontal="center"/>
    </xf>
    <xf borderId="0" fillId="4" fontId="6" numFmtId="0" xfId="0" applyAlignment="1" applyFont="1">
      <alignment readingOrder="0"/>
    </xf>
    <xf borderId="0" fillId="4" fontId="9" numFmtId="2" xfId="0" applyAlignment="1" applyFont="1" applyNumberFormat="1">
      <alignment horizontal="center"/>
    </xf>
    <xf borderId="0" fillId="4" fontId="9" numFmtId="165" xfId="0" applyAlignment="1" applyFont="1" applyNumberFormat="1">
      <alignment horizontal="center"/>
    </xf>
    <xf borderId="0" fillId="4" fontId="9" numFmtId="166" xfId="0" applyAlignment="1" applyFont="1" applyNumberFormat="1">
      <alignment horizontal="center"/>
    </xf>
    <xf borderId="0" fillId="4" fontId="6" numFmtId="165" xfId="0" applyAlignment="1" applyFont="1" applyNumberFormat="1">
      <alignment horizontal="center" readingOrder="0"/>
    </xf>
    <xf borderId="0" fillId="5" fontId="7" numFmtId="0" xfId="0" applyAlignment="1" applyFont="1">
      <alignment readingOrder="0"/>
    </xf>
    <xf borderId="0" fillId="5" fontId="7" numFmtId="0" xfId="0" applyAlignment="1" applyFont="1">
      <alignment horizontal="center" readingOrder="0"/>
    </xf>
    <xf borderId="12" fillId="3" fontId="7" numFmtId="168" xfId="0" applyAlignment="1" applyBorder="1" applyFont="1" applyNumberFormat="1">
      <alignment horizontal="center" readingOrder="0"/>
    </xf>
    <xf borderId="14" fillId="5" fontId="8" numFmtId="0" xfId="0" applyBorder="1" applyFont="1"/>
    <xf borderId="0" fillId="4" fontId="7" numFmtId="0" xfId="0" applyAlignment="1" applyFont="1">
      <alignment readingOrder="0"/>
    </xf>
    <xf borderId="0" fillId="4" fontId="7" numFmtId="0" xfId="0" applyAlignment="1" applyFont="1">
      <alignment horizontal="center" readingOrder="0"/>
    </xf>
    <xf borderId="0" fillId="4" fontId="7" numFmtId="167" xfId="0" applyAlignment="1" applyFont="1" applyNumberFormat="1">
      <alignment horizontal="center"/>
    </xf>
    <xf borderId="0" fillId="5" fontId="6" numFmtId="168" xfId="0" applyAlignment="1" applyFont="1" applyNumberFormat="1">
      <alignment horizontal="center"/>
    </xf>
    <xf borderId="0" fillId="5" fontId="6" numFmtId="0" xfId="0" applyAlignment="1" applyFont="1">
      <alignment horizontal="center" readingOrder="0"/>
    </xf>
    <xf borderId="0" fillId="4" fontId="6" numFmtId="168" xfId="0" applyAlignment="1" applyFont="1" applyNumberFormat="1">
      <alignment horizontal="center"/>
    </xf>
    <xf borderId="0" fillId="4" fontId="6" numFmtId="0" xfId="0" applyAlignment="1" applyFont="1">
      <alignment horizontal="center" readingOrder="0"/>
    </xf>
    <xf borderId="0" fillId="5" fontId="6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Font="1"/>
    <xf borderId="0" fillId="0" fontId="11" numFmtId="49" xfId="0" applyAlignment="1" applyFont="1" applyNumberForma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10" numFmtId="168" xfId="0" applyAlignment="1" applyFont="1" applyNumberFormat="1">
      <alignment horizontal="center" readingOrder="0"/>
    </xf>
    <xf borderId="0" fillId="0" fontId="10" numFmtId="0" xfId="0" applyFont="1"/>
    <xf borderId="0" fillId="2" fontId="12" numFmtId="167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alcul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Y16" displayName="Scarab" name="Scarab" id="1">
  <tableColumns count="25">
    <tableColumn name="Component" id="1"/>
    <tableColumn name="Shape" id="2"/>
    <tableColumn name="Mass (kg)" id="3"/>
    <tableColumn name="x" id="4"/>
    <tableColumn name="y" id="5"/>
    <tableColumn name="z" id="6"/>
    <tableColumn name="L" id="7"/>
    <tableColumn name="R/H" id="8"/>
    <tableColumn name="Hord" id="9"/>
    <tableColumn name="Span" id="10"/>
    <tableColumn name="М_x" id="11"/>
    <tableColumn name="М_y" id="12"/>
    <tableColumn name="М_z" id="13"/>
    <tableColumn name="x'" id="14"/>
    <tableColumn name="y'" id="15"/>
    <tableColumn name="z'" id="16"/>
    <tableColumn name="Ixx_local " id="17"/>
    <tableColumn name="Iyy_local " id="18"/>
    <tableColumn name="Izz_local " id="19"/>
    <tableColumn name="Ixx" id="20"/>
    <tableColumn name="Iyy" id="21"/>
    <tableColumn name="Izz" id="22"/>
    <tableColumn name="Ixy" id="23"/>
    <tableColumn name="Ixz" id="24"/>
    <tableColumn name="Iyz" id="25"/>
  </tableColumns>
  <tableStyleInfo name="Calcul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2.0"/>
    <col customWidth="1" min="3" max="3" width="4.0"/>
    <col customWidth="1" min="4" max="4" width="6.71"/>
    <col customWidth="1" min="5" max="5" width="8.71"/>
    <col customWidth="1" min="6" max="6" width="10.14"/>
  </cols>
  <sheetData>
    <row r="1">
      <c r="A1" s="1" t="s">
        <v>0</v>
      </c>
      <c r="D1" s="2" t="s">
        <v>1</v>
      </c>
      <c r="G1" s="1" t="s">
        <v>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1" t="s">
        <v>4</v>
      </c>
      <c r="C4" s="3"/>
      <c r="D4" s="3"/>
      <c r="E4" s="3"/>
      <c r="F4" s="4">
        <f>F5*F6*0.8</f>
        <v>31.36</v>
      </c>
      <c r="G4" s="1" t="s">
        <v>5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1" t="s">
        <v>6</v>
      </c>
      <c r="C5" s="3"/>
      <c r="D5" s="3"/>
      <c r="E5" s="3"/>
      <c r="F5" s="5">
        <v>14.0</v>
      </c>
      <c r="G5" s="1" t="s">
        <v>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1" t="s">
        <v>8</v>
      </c>
      <c r="C6" s="3"/>
      <c r="D6" s="3"/>
      <c r="E6" s="3"/>
      <c r="F6" s="5">
        <v>2.8</v>
      </c>
      <c r="G6" s="1" t="s">
        <v>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1" t="s">
        <v>10</v>
      </c>
      <c r="C7" s="3"/>
      <c r="D7" s="3"/>
      <c r="E7" s="3"/>
      <c r="F7" s="5">
        <v>5.9</v>
      </c>
      <c r="G7" s="1" t="s">
        <v>11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1" t="s">
        <v>12</v>
      </c>
      <c r="C8" s="3"/>
      <c r="D8" s="3"/>
      <c r="E8" s="3"/>
      <c r="F8" s="5">
        <v>8.7</v>
      </c>
      <c r="G8" s="1" t="s">
        <v>13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1" t="s">
        <v>14</v>
      </c>
      <c r="C9" s="3"/>
      <c r="D9" s="3"/>
      <c r="E9" s="3"/>
      <c r="F9" s="5">
        <v>4.4</v>
      </c>
      <c r="G9" s="1" t="s">
        <v>15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1" t="s">
        <v>16</v>
      </c>
      <c r="C10" s="3"/>
      <c r="D10" s="3"/>
      <c r="E10" s="3"/>
      <c r="F10" s="5">
        <v>8.7</v>
      </c>
      <c r="G10" s="1" t="s">
        <v>17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 t="s">
        <v>18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C12" s="1" t="s">
        <v>19</v>
      </c>
      <c r="D12" s="6">
        <v>6.85</v>
      </c>
      <c r="E12" s="1" t="s">
        <v>20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C13" s="1" t="s">
        <v>21</v>
      </c>
      <c r="D13" s="6">
        <v>0.0</v>
      </c>
      <c r="E13" s="1" t="s">
        <v>22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C14" s="1" t="s">
        <v>23</v>
      </c>
      <c r="D14" s="6">
        <v>4.0</v>
      </c>
      <c r="E14" s="1" t="s">
        <v>24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 t="s">
        <v>25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B16" s="3" t="s">
        <v>26</v>
      </c>
    </row>
    <row r="17">
      <c r="C17" s="1" t="s">
        <v>19</v>
      </c>
      <c r="D17" s="6">
        <v>2.0</v>
      </c>
      <c r="E17" s="7" t="s">
        <v>20</v>
      </c>
    </row>
    <row r="18">
      <c r="C18" s="1" t="s">
        <v>21</v>
      </c>
      <c r="D18" s="6">
        <v>0.0</v>
      </c>
      <c r="E18" s="7" t="s">
        <v>22</v>
      </c>
    </row>
    <row r="19">
      <c r="C19" s="1" t="s">
        <v>23</v>
      </c>
      <c r="D19" s="6">
        <v>2.0</v>
      </c>
      <c r="E19" s="7" t="s">
        <v>24</v>
      </c>
    </row>
    <row r="20">
      <c r="A20" s="3"/>
      <c r="B20" s="3" t="s">
        <v>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B21" s="3" t="s">
        <v>27</v>
      </c>
    </row>
    <row r="22">
      <c r="A22" s="3"/>
      <c r="C22" s="1" t="s">
        <v>19</v>
      </c>
      <c r="D22" s="6">
        <v>6.8</v>
      </c>
      <c r="E22" s="7" t="s">
        <v>20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C23" s="1" t="s">
        <v>21</v>
      </c>
      <c r="D23" s="6">
        <v>0.0</v>
      </c>
      <c r="E23" s="7" t="s">
        <v>22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C24" s="1" t="s">
        <v>23</v>
      </c>
      <c r="D24" s="6">
        <v>1.5</v>
      </c>
      <c r="E24" s="7" t="s">
        <v>24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 t="s">
        <v>25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28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29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" t="s">
        <v>30</v>
      </c>
      <c r="F28" s="2">
        <f>Calculation!T16</f>
        <v>44254.99509</v>
      </c>
      <c r="G28" s="1" t="s">
        <v>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" t="s">
        <v>32</v>
      </c>
      <c r="F29" s="2">
        <f>Calculation!U16</f>
        <v>37471.51801</v>
      </c>
      <c r="G29" s="1" t="s">
        <v>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" t="s">
        <v>34</v>
      </c>
      <c r="F30" s="2">
        <f>Calculation!V16</f>
        <v>60493.98958</v>
      </c>
      <c r="G30" s="1" t="s">
        <v>35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" t="s">
        <v>36</v>
      </c>
      <c r="F31" s="2">
        <f>Calculation!W16</f>
        <v>0</v>
      </c>
      <c r="G31" s="1" t="s">
        <v>37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" t="s">
        <v>38</v>
      </c>
      <c r="F32" s="2">
        <f>Calculation!X16</f>
        <v>4252.495411</v>
      </c>
      <c r="G32" s="1" t="s">
        <v>39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" t="s">
        <v>40</v>
      </c>
      <c r="F33" s="2">
        <f>Calculation!Y16</f>
        <v>0</v>
      </c>
      <c r="G33" s="1" t="s">
        <v>41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" t="s">
        <v>42</v>
      </c>
      <c r="F34" s="2">
        <f>Calculation!C16</f>
        <v>3530</v>
      </c>
      <c r="G34" s="1" t="s">
        <v>43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 t="s">
        <v>44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1" t="s">
        <v>19</v>
      </c>
      <c r="D36" s="4">
        <f>Calculation!D16</f>
        <v>5.964985836</v>
      </c>
      <c r="E36" s="1" t="s">
        <v>20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1" t="s">
        <v>21</v>
      </c>
      <c r="D37" s="4">
        <f>Calculation!E16</f>
        <v>0</v>
      </c>
      <c r="E37" s="1" t="s">
        <v>22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1" t="s">
        <v>23</v>
      </c>
      <c r="D38" s="4">
        <f>Calculation!F16</f>
        <v>0.5082152975</v>
      </c>
      <c r="E38" s="1" t="s">
        <v>24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 t="s">
        <v>25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 t="s">
        <v>45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9">
    <mergeCell ref="B28:E28"/>
    <mergeCell ref="D1:F1"/>
    <mergeCell ref="B34:E34"/>
    <mergeCell ref="B33:E33"/>
    <mergeCell ref="B32:E32"/>
    <mergeCell ref="B31:E31"/>
    <mergeCell ref="B30:E30"/>
    <mergeCell ref="B29:E29"/>
    <mergeCell ref="B35:G3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3.43"/>
    <col customWidth="1" min="3" max="3" width="13.0"/>
    <col customWidth="1" min="4" max="4" width="7.86"/>
    <col customWidth="1" min="5" max="5" width="5.57"/>
    <col customWidth="1" min="6" max="6" width="6.57"/>
    <col customWidth="1" min="7" max="7" width="5.71"/>
    <col customWidth="1" min="8" max="8" width="8.14"/>
    <col customWidth="1" min="9" max="9" width="8.43"/>
    <col customWidth="1" min="10" max="10" width="8.71"/>
    <col customWidth="1" min="11" max="11" width="10.86"/>
    <col customWidth="1" min="12" max="12" width="8.86"/>
    <col customWidth="1" min="13" max="13" width="9.71"/>
    <col customWidth="1" min="14" max="14" width="8.57"/>
    <col customWidth="1" min="15" max="15" width="7.57"/>
    <col customWidth="1" min="16" max="16" width="7.86"/>
    <col customWidth="1" min="17" max="17" width="11.71"/>
    <col customWidth="1" min="18" max="18" width="13.43"/>
    <col customWidth="1" min="19" max="19" width="13.14"/>
    <col customWidth="1" min="20" max="20" width="10.71"/>
    <col customWidth="1" min="21" max="21" width="9.43"/>
    <col customWidth="1" min="22" max="22" width="9.71"/>
    <col customWidth="1" min="23" max="23" width="9.43"/>
    <col customWidth="1" min="24" max="27" width="8.71"/>
  </cols>
  <sheetData>
    <row r="1">
      <c r="A1" s="8"/>
      <c r="B1" s="8"/>
      <c r="C1" s="9"/>
      <c r="D1" s="9"/>
      <c r="E1" s="9"/>
      <c r="F1" s="9"/>
      <c r="G1" s="9"/>
      <c r="H1" s="2" t="s">
        <v>1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8"/>
      <c r="X1" s="8"/>
      <c r="Y1" s="8"/>
      <c r="Z1" s="8"/>
      <c r="AA1" s="8"/>
    </row>
    <row r="2">
      <c r="A2" s="8"/>
      <c r="B2" s="9"/>
      <c r="C2" s="9"/>
      <c r="D2" s="10" t="s">
        <v>46</v>
      </c>
      <c r="E2" s="11"/>
      <c r="F2" s="12"/>
      <c r="G2" s="9"/>
      <c r="H2" s="9"/>
      <c r="I2" s="9"/>
      <c r="J2" s="9"/>
      <c r="K2" s="10" t="s">
        <v>47</v>
      </c>
      <c r="L2" s="11"/>
      <c r="M2" s="12"/>
      <c r="N2" s="10" t="s">
        <v>48</v>
      </c>
      <c r="O2" s="11"/>
      <c r="P2" s="12"/>
      <c r="Q2" s="10" t="s">
        <v>49</v>
      </c>
      <c r="R2" s="11"/>
      <c r="S2" s="12"/>
      <c r="T2" s="10" t="s">
        <v>50</v>
      </c>
      <c r="U2" s="11"/>
      <c r="V2" s="11"/>
      <c r="W2" s="11"/>
      <c r="X2" s="11"/>
      <c r="Y2" s="12"/>
      <c r="Z2" s="8"/>
      <c r="AA2" s="8"/>
    </row>
    <row r="3">
      <c r="A3" s="13" t="s">
        <v>51</v>
      </c>
      <c r="B3" s="13" t="s">
        <v>52</v>
      </c>
      <c r="C3" s="14" t="s">
        <v>53</v>
      </c>
      <c r="D3" s="15" t="s">
        <v>54</v>
      </c>
      <c r="E3" s="13" t="s">
        <v>55</v>
      </c>
      <c r="F3" s="16" t="s">
        <v>56</v>
      </c>
      <c r="G3" s="13" t="s">
        <v>57</v>
      </c>
      <c r="H3" s="13" t="s">
        <v>58</v>
      </c>
      <c r="I3" s="13" t="s">
        <v>59</v>
      </c>
      <c r="J3" s="13" t="s">
        <v>60</v>
      </c>
      <c r="K3" s="17" t="s">
        <v>61</v>
      </c>
      <c r="L3" s="18" t="s">
        <v>62</v>
      </c>
      <c r="M3" s="19" t="s">
        <v>63</v>
      </c>
      <c r="N3" s="20" t="s">
        <v>64</v>
      </c>
      <c r="O3" s="20" t="s">
        <v>65</v>
      </c>
      <c r="P3" s="20" t="s">
        <v>66</v>
      </c>
      <c r="Q3" s="21" t="s">
        <v>67</v>
      </c>
      <c r="R3" s="21" t="s">
        <v>68</v>
      </c>
      <c r="S3" s="21" t="s">
        <v>69</v>
      </c>
      <c r="T3" s="20" t="s">
        <v>70</v>
      </c>
      <c r="U3" s="20" t="s">
        <v>71</v>
      </c>
      <c r="V3" s="20" t="s">
        <v>72</v>
      </c>
      <c r="W3" s="20" t="s">
        <v>73</v>
      </c>
      <c r="X3" s="20" t="s">
        <v>74</v>
      </c>
      <c r="Y3" s="20" t="s">
        <v>75</v>
      </c>
      <c r="Z3" s="9"/>
      <c r="AA3" s="9"/>
    </row>
    <row r="4">
      <c r="A4" s="22" t="s">
        <v>76</v>
      </c>
      <c r="B4" s="23" t="s">
        <v>77</v>
      </c>
      <c r="C4" s="24">
        <v>1850.0</v>
      </c>
      <c r="D4" s="25">
        <f>G4/2</f>
        <v>5.4</v>
      </c>
      <c r="E4" s="26"/>
      <c r="F4" s="27"/>
      <c r="G4" s="28">
        <v>10.8</v>
      </c>
      <c r="H4" s="28">
        <v>1.4</v>
      </c>
      <c r="I4" s="29"/>
      <c r="J4" s="30"/>
      <c r="K4" s="31">
        <f t="shared" ref="K4:M4" si="1">$C4*D4</f>
        <v>9990</v>
      </c>
      <c r="L4" s="32">
        <f t="shared" si="1"/>
        <v>0</v>
      </c>
      <c r="M4" s="31">
        <f t="shared" si="1"/>
        <v>0</v>
      </c>
      <c r="N4" s="33">
        <f t="shared" ref="N4:N14" si="4">D4-$D$16</f>
        <v>-0.5649858357</v>
      </c>
      <c r="O4" s="34">
        <f t="shared" ref="O4:O14" si="5">E4-$E$16</f>
        <v>0</v>
      </c>
      <c r="P4" s="33">
        <f t="shared" ref="P4:P14" si="6">F4-$F$16</f>
        <v>-0.5082152975</v>
      </c>
      <c r="Q4" s="33">
        <f t="shared" ref="Q4:Q5" si="7"> 0.5 *C4  * H4^2</f>
        <v>1813</v>
      </c>
      <c r="R4" s="33">
        <f t="shared" ref="R4:S4" si="2">(1/12)*$C4*(3*$H4^2+$G4^2)</f>
        <v>18888.5</v>
      </c>
      <c r="S4" s="33">
        <f t="shared" si="2"/>
        <v>18888.5</v>
      </c>
      <c r="T4" s="31">
        <f t="shared" ref="T4:T14" si="9">Q4+C4*(O4^2+P4^2)</f>
        <v>2290.823159</v>
      </c>
      <c r="U4" s="31">
        <f t="shared" ref="U4:U14" si="10">R4+(C4*(N4^2+P4^2))</f>
        <v>19956.8598</v>
      </c>
      <c r="V4" s="31">
        <f t="shared" ref="V4:V14" si="11">$S4+$C4*($N4^2+$O4^2)</f>
        <v>19479.03664</v>
      </c>
      <c r="W4" s="31">
        <f t="shared" ref="W4:W14" si="12">C4*N4*O4</f>
        <v>0</v>
      </c>
      <c r="X4" s="31">
        <f t="shared" ref="X4:X14" si="13">C4*N4*P4</f>
        <v>531.1987224</v>
      </c>
      <c r="Y4" s="31">
        <f t="shared" ref="Y4:Y14" si="14">C4*O4*P4</f>
        <v>0</v>
      </c>
      <c r="Z4" s="8"/>
      <c r="AA4" s="8"/>
    </row>
    <row r="5">
      <c r="A5" s="23" t="s">
        <v>78</v>
      </c>
      <c r="B5" s="23" t="s">
        <v>77</v>
      </c>
      <c r="C5" s="24">
        <v>100.0</v>
      </c>
      <c r="D5" s="25">
        <f>G5/2+G4</f>
        <v>12.8</v>
      </c>
      <c r="E5" s="26"/>
      <c r="F5" s="35">
        <v>4.0</v>
      </c>
      <c r="G5" s="28">
        <v>4.0</v>
      </c>
      <c r="H5" s="28">
        <v>0.3</v>
      </c>
      <c r="I5" s="29"/>
      <c r="J5" s="30"/>
      <c r="K5" s="31">
        <f t="shared" ref="K5:M5" si="3">$C5*D5</f>
        <v>1280</v>
      </c>
      <c r="L5" s="32">
        <f t="shared" si="3"/>
        <v>0</v>
      </c>
      <c r="M5" s="31">
        <f t="shared" si="3"/>
        <v>400</v>
      </c>
      <c r="N5" s="33">
        <f t="shared" si="4"/>
        <v>6.835014164</v>
      </c>
      <c r="O5" s="34">
        <f t="shared" si="5"/>
        <v>0</v>
      </c>
      <c r="P5" s="33">
        <f t="shared" si="6"/>
        <v>3.491784703</v>
      </c>
      <c r="Q5" s="33">
        <f t="shared" si="7"/>
        <v>4.5</v>
      </c>
      <c r="R5" s="33">
        <f t="shared" ref="R5:S5" si="8">(1/12)*$C5*(3*$H5^2+$G5^2)</f>
        <v>135.5833333</v>
      </c>
      <c r="S5" s="33">
        <f t="shared" si="8"/>
        <v>135.5833333</v>
      </c>
      <c r="T5" s="31">
        <f t="shared" si="9"/>
        <v>1223.756041</v>
      </c>
      <c r="U5" s="31">
        <f t="shared" si="10"/>
        <v>6026.581237</v>
      </c>
      <c r="V5" s="31">
        <f t="shared" si="11"/>
        <v>4807.325196</v>
      </c>
      <c r="W5" s="31">
        <f t="shared" si="12"/>
        <v>0</v>
      </c>
      <c r="X5" s="31">
        <f t="shared" si="13"/>
        <v>2386.63979</v>
      </c>
      <c r="Y5" s="31">
        <f t="shared" si="14"/>
        <v>0</v>
      </c>
      <c r="Z5" s="8"/>
      <c r="AA5" s="8"/>
    </row>
    <row r="6">
      <c r="A6" s="23" t="s">
        <v>79</v>
      </c>
      <c r="B6" s="22" t="s">
        <v>80</v>
      </c>
      <c r="C6" s="24">
        <v>520.0</v>
      </c>
      <c r="D6" s="36">
        <v>6.8</v>
      </c>
      <c r="E6" s="26"/>
      <c r="F6" s="35">
        <v>3.0</v>
      </c>
      <c r="G6" s="37"/>
      <c r="H6" s="28">
        <v>0.22</v>
      </c>
      <c r="I6" s="38">
        <f>'Scarab config xml'!F6</f>
        <v>2.8</v>
      </c>
      <c r="J6" s="39">
        <f>'Scarab config xml'!F5</f>
        <v>14</v>
      </c>
      <c r="K6" s="31">
        <f t="shared" ref="K6:M6" si="15">$C6*D6</f>
        <v>3536</v>
      </c>
      <c r="L6" s="32">
        <f t="shared" si="15"/>
        <v>0</v>
      </c>
      <c r="M6" s="31">
        <f t="shared" si="15"/>
        <v>1560</v>
      </c>
      <c r="N6" s="33">
        <f t="shared" si="4"/>
        <v>0.8350141643</v>
      </c>
      <c r="O6" s="34">
        <f t="shared" si="5"/>
        <v>0</v>
      </c>
      <c r="P6" s="33">
        <f t="shared" si="6"/>
        <v>2.491784703</v>
      </c>
      <c r="Q6" s="33">
        <f>(1/12)*C6*J6^2</f>
        <v>8493.333333</v>
      </c>
      <c r="R6" s="33">
        <f>(1/12)*C6*I6^2</f>
        <v>339.7333333</v>
      </c>
      <c r="S6" s="33">
        <f>(1/12)*C6*(J6^2+I6^2)</f>
        <v>8833.066667</v>
      </c>
      <c r="T6" s="31">
        <f t="shared" si="9"/>
        <v>11722.00866</v>
      </c>
      <c r="U6" s="31">
        <f t="shared" si="10"/>
        <v>3930.977956</v>
      </c>
      <c r="V6" s="31">
        <f t="shared" si="11"/>
        <v>9195.635967</v>
      </c>
      <c r="W6" s="31">
        <f t="shared" si="12"/>
        <v>0</v>
      </c>
      <c r="X6" s="31">
        <f t="shared" si="13"/>
        <v>1081.951271</v>
      </c>
      <c r="Y6" s="31">
        <f t="shared" si="14"/>
        <v>0</v>
      </c>
      <c r="Z6" s="8"/>
      <c r="AA6" s="8"/>
    </row>
    <row r="7">
      <c r="A7" s="22" t="s">
        <v>81</v>
      </c>
      <c r="B7" s="23" t="s">
        <v>77</v>
      </c>
      <c r="C7" s="24">
        <v>320.0</v>
      </c>
      <c r="D7" s="36">
        <v>5.96</v>
      </c>
      <c r="E7" s="30">
        <v>6.0</v>
      </c>
      <c r="F7" s="35">
        <v>1.2</v>
      </c>
      <c r="G7" s="28">
        <v>2.4</v>
      </c>
      <c r="H7" s="28">
        <v>0.6</v>
      </c>
      <c r="I7" s="29"/>
      <c r="J7" s="30"/>
      <c r="K7" s="31">
        <f t="shared" ref="K7:M7" si="16">$C7*D7</f>
        <v>1907.2</v>
      </c>
      <c r="L7" s="32">
        <f t="shared" si="16"/>
        <v>1920</v>
      </c>
      <c r="M7" s="31">
        <f t="shared" si="16"/>
        <v>384</v>
      </c>
      <c r="N7" s="33">
        <f t="shared" si="4"/>
        <v>-0.004985835694</v>
      </c>
      <c r="O7" s="34">
        <f t="shared" si="5"/>
        <v>6</v>
      </c>
      <c r="P7" s="33">
        <f t="shared" si="6"/>
        <v>0.6917847025</v>
      </c>
      <c r="Q7" s="33">
        <f t="shared" ref="Q7:Q10" si="19"> 0.5 *C7  * H7^2</f>
        <v>57.6</v>
      </c>
      <c r="R7" s="33">
        <f t="shared" ref="R7:S7" si="17">(1/12)*$C7*(3*$H7^2+$G7^2)</f>
        <v>182.4</v>
      </c>
      <c r="S7" s="33">
        <f t="shared" si="17"/>
        <v>182.4</v>
      </c>
      <c r="T7" s="31">
        <f t="shared" si="9"/>
        <v>11730.74114</v>
      </c>
      <c r="U7" s="31">
        <f t="shared" si="10"/>
        <v>335.5490986</v>
      </c>
      <c r="V7" s="31">
        <f t="shared" si="11"/>
        <v>11702.40795</v>
      </c>
      <c r="W7" s="31">
        <f t="shared" si="12"/>
        <v>-9.572804533</v>
      </c>
      <c r="X7" s="31">
        <f t="shared" si="13"/>
        <v>-1.103719956</v>
      </c>
      <c r="Y7" s="31">
        <f t="shared" si="14"/>
        <v>1328.226629</v>
      </c>
      <c r="Z7" s="8"/>
      <c r="AA7" s="8"/>
    </row>
    <row r="8">
      <c r="A8" s="22" t="s">
        <v>82</v>
      </c>
      <c r="B8" s="23" t="s">
        <v>77</v>
      </c>
      <c r="C8" s="24">
        <v>320.0</v>
      </c>
      <c r="D8" s="36">
        <v>5.96</v>
      </c>
      <c r="E8" s="30">
        <v>-6.0</v>
      </c>
      <c r="F8" s="35">
        <v>1.2</v>
      </c>
      <c r="G8" s="28">
        <v>2.4</v>
      </c>
      <c r="H8" s="28">
        <v>0.6</v>
      </c>
      <c r="I8" s="29"/>
      <c r="J8" s="30"/>
      <c r="K8" s="31">
        <f t="shared" ref="K8:M8" si="18">$C8*D8</f>
        <v>1907.2</v>
      </c>
      <c r="L8" s="32">
        <f t="shared" si="18"/>
        <v>-1920</v>
      </c>
      <c r="M8" s="31">
        <f t="shared" si="18"/>
        <v>384</v>
      </c>
      <c r="N8" s="33">
        <f t="shared" si="4"/>
        <v>-0.004985835694</v>
      </c>
      <c r="O8" s="34">
        <f t="shared" si="5"/>
        <v>-6</v>
      </c>
      <c r="P8" s="33">
        <f t="shared" si="6"/>
        <v>0.6917847025</v>
      </c>
      <c r="Q8" s="33">
        <f t="shared" si="19"/>
        <v>57.6</v>
      </c>
      <c r="R8" s="33">
        <f t="shared" ref="R8:S8" si="20">(1/12)*$C8*(3*$H8^2+$G8^2)</f>
        <v>182.4</v>
      </c>
      <c r="S8" s="33">
        <f t="shared" si="20"/>
        <v>182.4</v>
      </c>
      <c r="T8" s="31">
        <f t="shared" si="9"/>
        <v>11730.74114</v>
      </c>
      <c r="U8" s="31">
        <f t="shared" si="10"/>
        <v>335.5490986</v>
      </c>
      <c r="V8" s="31">
        <f t="shared" si="11"/>
        <v>11702.40795</v>
      </c>
      <c r="W8" s="31">
        <f t="shared" si="12"/>
        <v>9.572804533</v>
      </c>
      <c r="X8" s="31">
        <f t="shared" si="13"/>
        <v>-1.103719956</v>
      </c>
      <c r="Y8" s="31">
        <f t="shared" si="14"/>
        <v>-1328.226629</v>
      </c>
      <c r="Z8" s="8"/>
      <c r="AA8" s="8"/>
    </row>
    <row r="9">
      <c r="A9" s="22" t="s">
        <v>83</v>
      </c>
      <c r="B9" s="23" t="s">
        <v>77</v>
      </c>
      <c r="C9" s="24">
        <v>50.0</v>
      </c>
      <c r="D9" s="36">
        <v>5.96</v>
      </c>
      <c r="E9" s="30">
        <v>1.0</v>
      </c>
      <c r="F9" s="35">
        <v>0.9</v>
      </c>
      <c r="G9" s="28">
        <v>2.0</v>
      </c>
      <c r="H9" s="28">
        <v>0.3</v>
      </c>
      <c r="I9" s="29"/>
      <c r="J9" s="30"/>
      <c r="K9" s="31">
        <f t="shared" ref="K9:M9" si="21">$C9*D9</f>
        <v>298</v>
      </c>
      <c r="L9" s="32">
        <f t="shared" si="21"/>
        <v>50</v>
      </c>
      <c r="M9" s="31">
        <f t="shared" si="21"/>
        <v>45</v>
      </c>
      <c r="N9" s="33">
        <f t="shared" si="4"/>
        <v>-0.004985835694</v>
      </c>
      <c r="O9" s="34">
        <f t="shared" si="5"/>
        <v>1</v>
      </c>
      <c r="P9" s="33">
        <f t="shared" si="6"/>
        <v>0.3917847025</v>
      </c>
      <c r="Q9" s="33">
        <f t="shared" si="19"/>
        <v>2.25</v>
      </c>
      <c r="R9" s="33">
        <f t="shared" ref="R9:S9" si="22">(1/12)*$C9*(3*$H9^2+$G9^2)</f>
        <v>17.79166667</v>
      </c>
      <c r="S9" s="33">
        <f t="shared" si="22"/>
        <v>17.79166667</v>
      </c>
      <c r="T9" s="31">
        <f t="shared" si="9"/>
        <v>59.92476266</v>
      </c>
      <c r="U9" s="31">
        <f t="shared" si="10"/>
        <v>25.46767225</v>
      </c>
      <c r="V9" s="31">
        <f t="shared" si="11"/>
        <v>67.79290959</v>
      </c>
      <c r="W9" s="31">
        <f t="shared" si="12"/>
        <v>-0.2492917847</v>
      </c>
      <c r="X9" s="31">
        <f t="shared" si="13"/>
        <v>-0.09766870772</v>
      </c>
      <c r="Y9" s="31">
        <f t="shared" si="14"/>
        <v>19.58923513</v>
      </c>
      <c r="Z9" s="8"/>
      <c r="AA9" s="8"/>
    </row>
    <row r="10">
      <c r="A10" s="22" t="s">
        <v>84</v>
      </c>
      <c r="B10" s="23" t="s">
        <v>77</v>
      </c>
      <c r="C10" s="24">
        <v>50.0</v>
      </c>
      <c r="D10" s="36">
        <v>5.96</v>
      </c>
      <c r="E10" s="30">
        <v>-1.0</v>
      </c>
      <c r="F10" s="35">
        <v>0.9</v>
      </c>
      <c r="G10" s="28">
        <v>2.0</v>
      </c>
      <c r="H10" s="28">
        <v>0.3</v>
      </c>
      <c r="I10" s="29"/>
      <c r="J10" s="30"/>
      <c r="K10" s="31">
        <f t="shared" ref="K10:M10" si="23">$C10*D10</f>
        <v>298</v>
      </c>
      <c r="L10" s="32">
        <f t="shared" si="23"/>
        <v>-50</v>
      </c>
      <c r="M10" s="31">
        <f t="shared" si="23"/>
        <v>45</v>
      </c>
      <c r="N10" s="33">
        <f t="shared" si="4"/>
        <v>-0.004985835694</v>
      </c>
      <c r="O10" s="34">
        <f t="shared" si="5"/>
        <v>-1</v>
      </c>
      <c r="P10" s="33">
        <f t="shared" si="6"/>
        <v>0.3917847025</v>
      </c>
      <c r="Q10" s="33">
        <f t="shared" si="19"/>
        <v>2.25</v>
      </c>
      <c r="R10" s="33">
        <f t="shared" ref="R10:S10" si="24">(1/12)*$C10*(3*$H10^2+$G10^2)</f>
        <v>17.79166667</v>
      </c>
      <c r="S10" s="33">
        <f t="shared" si="24"/>
        <v>17.79166667</v>
      </c>
      <c r="T10" s="31">
        <f t="shared" si="9"/>
        <v>59.92476266</v>
      </c>
      <c r="U10" s="31">
        <f t="shared" si="10"/>
        <v>25.46767225</v>
      </c>
      <c r="V10" s="31">
        <f t="shared" si="11"/>
        <v>67.79290959</v>
      </c>
      <c r="W10" s="31">
        <f t="shared" si="12"/>
        <v>0.2492917847</v>
      </c>
      <c r="X10" s="31">
        <f t="shared" si="13"/>
        <v>-0.09766870772</v>
      </c>
      <c r="Y10" s="31">
        <f t="shared" si="14"/>
        <v>-19.58923513</v>
      </c>
      <c r="Z10" s="8"/>
      <c r="AA10" s="8"/>
    </row>
    <row r="11">
      <c r="A11" s="22" t="s">
        <v>85</v>
      </c>
      <c r="B11" s="22" t="s">
        <v>86</v>
      </c>
      <c r="C11" s="24">
        <v>80.0</v>
      </c>
      <c r="D11" s="36">
        <v>3.0</v>
      </c>
      <c r="E11" s="30">
        <v>1.8</v>
      </c>
      <c r="F11" s="35">
        <v>-3.2</v>
      </c>
      <c r="G11" s="28">
        <v>0.3</v>
      </c>
      <c r="H11" s="28">
        <v>0.4</v>
      </c>
      <c r="I11" s="29"/>
      <c r="J11" s="30"/>
      <c r="K11" s="31">
        <f t="shared" ref="K11:M11" si="25">$C11*D11</f>
        <v>240</v>
      </c>
      <c r="L11" s="32">
        <f t="shared" si="25"/>
        <v>144</v>
      </c>
      <c r="M11" s="31">
        <f t="shared" si="25"/>
        <v>-256</v>
      </c>
      <c r="N11" s="33">
        <f t="shared" si="4"/>
        <v>-2.964985836</v>
      </c>
      <c r="O11" s="34">
        <f t="shared" si="5"/>
        <v>1.8</v>
      </c>
      <c r="P11" s="33">
        <f t="shared" si="6"/>
        <v>-3.708215297</v>
      </c>
      <c r="Q11" s="33">
        <v>0.0</v>
      </c>
      <c r="R11" s="33">
        <v>0.0</v>
      </c>
      <c r="S11" s="33">
        <v>0.0</v>
      </c>
      <c r="T11" s="31">
        <f t="shared" si="9"/>
        <v>1359.268855</v>
      </c>
      <c r="U11" s="31">
        <f t="shared" si="10"/>
        <v>1803.360136</v>
      </c>
      <c r="V11" s="31">
        <f t="shared" si="11"/>
        <v>962.4912805</v>
      </c>
      <c r="W11" s="31">
        <f t="shared" si="12"/>
        <v>-426.9579603</v>
      </c>
      <c r="X11" s="31">
        <f t="shared" si="13"/>
        <v>879.5844666</v>
      </c>
      <c r="Y11" s="31">
        <f t="shared" si="14"/>
        <v>-533.9830028</v>
      </c>
      <c r="Z11" s="8"/>
      <c r="AA11" s="8"/>
    </row>
    <row r="12">
      <c r="A12" s="22" t="s">
        <v>87</v>
      </c>
      <c r="B12" s="22" t="s">
        <v>86</v>
      </c>
      <c r="C12" s="24">
        <v>80.0</v>
      </c>
      <c r="D12" s="36">
        <v>3.0</v>
      </c>
      <c r="E12" s="30">
        <v>-1.8</v>
      </c>
      <c r="F12" s="35">
        <v>-3.2</v>
      </c>
      <c r="G12" s="28">
        <v>0.3</v>
      </c>
      <c r="H12" s="28">
        <v>0.4</v>
      </c>
      <c r="I12" s="29"/>
      <c r="J12" s="30"/>
      <c r="K12" s="31">
        <f t="shared" ref="K12:M12" si="26">$C12*D12</f>
        <v>240</v>
      </c>
      <c r="L12" s="32">
        <f t="shared" si="26"/>
        <v>-144</v>
      </c>
      <c r="M12" s="31">
        <f t="shared" si="26"/>
        <v>-256</v>
      </c>
      <c r="N12" s="33">
        <f t="shared" si="4"/>
        <v>-2.964985836</v>
      </c>
      <c r="O12" s="34">
        <f t="shared" si="5"/>
        <v>-1.8</v>
      </c>
      <c r="P12" s="33">
        <f t="shared" si="6"/>
        <v>-3.708215297</v>
      </c>
      <c r="Q12" s="33">
        <v>0.0</v>
      </c>
      <c r="R12" s="33">
        <v>0.0</v>
      </c>
      <c r="S12" s="33">
        <v>0.0</v>
      </c>
      <c r="T12" s="31">
        <f t="shared" si="9"/>
        <v>1359.268855</v>
      </c>
      <c r="U12" s="31">
        <f t="shared" si="10"/>
        <v>1803.360136</v>
      </c>
      <c r="V12" s="31">
        <f t="shared" si="11"/>
        <v>962.4912805</v>
      </c>
      <c r="W12" s="31">
        <f t="shared" si="12"/>
        <v>426.9579603</v>
      </c>
      <c r="X12" s="31">
        <f t="shared" si="13"/>
        <v>879.5844666</v>
      </c>
      <c r="Y12" s="31">
        <f t="shared" si="14"/>
        <v>533.9830028</v>
      </c>
      <c r="Z12" s="8"/>
      <c r="AA12" s="8"/>
    </row>
    <row r="13">
      <c r="A13" s="22" t="s">
        <v>88</v>
      </c>
      <c r="B13" s="22" t="s">
        <v>86</v>
      </c>
      <c r="C13" s="24">
        <v>80.0</v>
      </c>
      <c r="D13" s="36">
        <v>8.5</v>
      </c>
      <c r="E13" s="30">
        <v>1.8</v>
      </c>
      <c r="F13" s="35">
        <v>-3.2</v>
      </c>
      <c r="G13" s="28">
        <v>0.3</v>
      </c>
      <c r="H13" s="28">
        <v>0.4</v>
      </c>
      <c r="I13" s="29"/>
      <c r="J13" s="30"/>
      <c r="K13" s="31">
        <f t="shared" ref="K13:M13" si="27">$C13*D13</f>
        <v>680</v>
      </c>
      <c r="L13" s="32">
        <f t="shared" si="27"/>
        <v>144</v>
      </c>
      <c r="M13" s="31">
        <f t="shared" si="27"/>
        <v>-256</v>
      </c>
      <c r="N13" s="33">
        <f t="shared" si="4"/>
        <v>2.535014164</v>
      </c>
      <c r="O13" s="34">
        <f t="shared" si="5"/>
        <v>1.8</v>
      </c>
      <c r="P13" s="33">
        <f t="shared" si="6"/>
        <v>-3.708215297</v>
      </c>
      <c r="Q13" s="33">
        <v>0.0</v>
      </c>
      <c r="R13" s="33">
        <v>0.0</v>
      </c>
      <c r="S13" s="33">
        <v>0.0</v>
      </c>
      <c r="T13" s="31">
        <f t="shared" si="9"/>
        <v>1359.268855</v>
      </c>
      <c r="U13" s="31">
        <f t="shared" si="10"/>
        <v>1614.1726</v>
      </c>
      <c r="V13" s="31">
        <f t="shared" si="11"/>
        <v>773.3037451</v>
      </c>
      <c r="W13" s="31">
        <f t="shared" si="12"/>
        <v>365.0420397</v>
      </c>
      <c r="X13" s="31">
        <f t="shared" si="13"/>
        <v>-752.0302643</v>
      </c>
      <c r="Y13" s="31">
        <f t="shared" si="14"/>
        <v>-533.9830028</v>
      </c>
      <c r="Z13" s="8"/>
      <c r="AA13" s="8"/>
    </row>
    <row r="14">
      <c r="A14" s="22" t="s">
        <v>89</v>
      </c>
      <c r="B14" s="22" t="s">
        <v>86</v>
      </c>
      <c r="C14" s="24">
        <v>80.0</v>
      </c>
      <c r="D14" s="36">
        <v>8.5</v>
      </c>
      <c r="E14" s="30">
        <v>-1.8</v>
      </c>
      <c r="F14" s="35">
        <v>-3.2</v>
      </c>
      <c r="G14" s="28">
        <v>0.3</v>
      </c>
      <c r="H14" s="28">
        <v>0.4</v>
      </c>
      <c r="I14" s="29"/>
      <c r="J14" s="30"/>
      <c r="K14" s="31">
        <f t="shared" ref="K14:M14" si="28">$C14*D14</f>
        <v>680</v>
      </c>
      <c r="L14" s="32">
        <f t="shared" si="28"/>
        <v>-144</v>
      </c>
      <c r="M14" s="31">
        <f t="shared" si="28"/>
        <v>-256</v>
      </c>
      <c r="N14" s="33">
        <f t="shared" si="4"/>
        <v>2.535014164</v>
      </c>
      <c r="O14" s="34">
        <f t="shared" si="5"/>
        <v>-1.8</v>
      </c>
      <c r="P14" s="33">
        <f t="shared" si="6"/>
        <v>-3.708215297</v>
      </c>
      <c r="Q14" s="33">
        <v>0.0</v>
      </c>
      <c r="R14" s="33">
        <v>0.0</v>
      </c>
      <c r="S14" s="33">
        <v>0.0</v>
      </c>
      <c r="T14" s="31">
        <f t="shared" si="9"/>
        <v>1359.268855</v>
      </c>
      <c r="U14" s="31">
        <f t="shared" si="10"/>
        <v>1614.1726</v>
      </c>
      <c r="V14" s="31">
        <f t="shared" si="11"/>
        <v>773.3037451</v>
      </c>
      <c r="W14" s="31">
        <f t="shared" si="12"/>
        <v>-365.0420397</v>
      </c>
      <c r="X14" s="31">
        <f t="shared" si="13"/>
        <v>-752.0302643</v>
      </c>
      <c r="Y14" s="31">
        <f t="shared" si="14"/>
        <v>533.9830028</v>
      </c>
      <c r="Z14" s="8"/>
      <c r="AA14" s="8"/>
    </row>
    <row r="15">
      <c r="A15" s="22"/>
      <c r="B15" s="23"/>
      <c r="C15" s="24"/>
      <c r="D15" s="40"/>
      <c r="E15" s="41"/>
      <c r="F15" s="42"/>
      <c r="G15" s="28"/>
      <c r="H15" s="28"/>
      <c r="I15" s="29"/>
      <c r="J15" s="30"/>
      <c r="K15" s="43"/>
      <c r="L15" s="32"/>
      <c r="M15" s="43"/>
      <c r="N15" s="44"/>
      <c r="O15" s="44"/>
      <c r="P15" s="44"/>
      <c r="Q15" s="45"/>
      <c r="R15" s="45"/>
      <c r="S15" s="45"/>
      <c r="T15" s="31"/>
      <c r="U15" s="31"/>
      <c r="V15" s="31"/>
      <c r="W15" s="31"/>
      <c r="X15" s="31"/>
      <c r="Y15" s="31"/>
      <c r="Z15" s="8"/>
      <c r="AA15" s="8"/>
    </row>
    <row r="16">
      <c r="A16" s="22" t="s">
        <v>90</v>
      </c>
      <c r="B16" s="23"/>
      <c r="C16" s="46">
        <f>SUM(C3:C14)</f>
        <v>3530</v>
      </c>
      <c r="D16" s="47">
        <f>K16/C16</f>
        <v>5.964985836</v>
      </c>
      <c r="E16" s="48">
        <f>L16/C16</f>
        <v>0</v>
      </c>
      <c r="F16" s="49">
        <f>M16/C16</f>
        <v>0.5082152975</v>
      </c>
      <c r="G16" s="28"/>
      <c r="H16" s="28"/>
      <c r="I16" s="29"/>
      <c r="J16" s="30"/>
      <c r="K16" s="50">
        <f t="shared" ref="K16:M16" si="29">SUM(K3:K14)</f>
        <v>21056.4</v>
      </c>
      <c r="L16" s="28">
        <f t="shared" si="29"/>
        <v>0</v>
      </c>
      <c r="M16" s="50">
        <f t="shared" si="29"/>
        <v>1794</v>
      </c>
      <c r="N16" s="44"/>
      <c r="O16" s="44"/>
      <c r="P16" s="44"/>
      <c r="Q16" s="45"/>
      <c r="R16" s="45"/>
      <c r="S16" s="45"/>
      <c r="T16" s="51">
        <f t="shared" ref="T16:Y16" si="30">SUM(T3:T14)</f>
        <v>44254.99509</v>
      </c>
      <c r="U16" s="52">
        <f t="shared" si="30"/>
        <v>37471.51801</v>
      </c>
      <c r="V16" s="52">
        <f t="shared" si="30"/>
        <v>60493.98958</v>
      </c>
      <c r="W16" s="52">
        <f t="shared" si="30"/>
        <v>0</v>
      </c>
      <c r="X16" s="52">
        <f t="shared" si="30"/>
        <v>4252.495411</v>
      </c>
      <c r="Y16" s="52">
        <f t="shared" si="30"/>
        <v>0</v>
      </c>
      <c r="Z16" s="8"/>
      <c r="AA16" s="8"/>
    </row>
    <row r="17">
      <c r="A17" s="53"/>
      <c r="C17" s="9"/>
      <c r="D17" s="9"/>
      <c r="E17" s="54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8"/>
      <c r="X17" s="8"/>
      <c r="Y17" s="8"/>
      <c r="Z17" s="8"/>
      <c r="AA17" s="8"/>
    </row>
    <row r="18" ht="15.75" customHeight="1">
      <c r="A18" s="55" t="s">
        <v>91</v>
      </c>
      <c r="B18" s="8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8"/>
      <c r="X18" s="8"/>
      <c r="Y18" s="8"/>
      <c r="Z18" s="8"/>
      <c r="AA18" s="8"/>
    </row>
    <row r="19" ht="15.75" customHeight="1">
      <c r="A19" s="56"/>
      <c r="B19" s="8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8"/>
      <c r="X19" s="8"/>
      <c r="Y19" s="8"/>
      <c r="Z19" s="8"/>
      <c r="AA19" s="8"/>
    </row>
    <row r="20" ht="15.75" customHeight="1">
      <c r="A20" s="57" t="s">
        <v>51</v>
      </c>
      <c r="B20" s="55" t="s">
        <v>92</v>
      </c>
      <c r="C20" s="53" t="s">
        <v>93</v>
      </c>
      <c r="E20" s="53" t="s">
        <v>94</v>
      </c>
      <c r="H20" s="53" t="s">
        <v>95</v>
      </c>
      <c r="J20" s="53" t="s">
        <v>96</v>
      </c>
      <c r="L20" s="53" t="s">
        <v>97</v>
      </c>
      <c r="N20" s="9"/>
      <c r="O20" s="9"/>
      <c r="P20" s="9"/>
      <c r="Q20" s="9"/>
      <c r="R20" s="9"/>
      <c r="S20" s="9"/>
      <c r="T20" s="9"/>
      <c r="U20" s="9"/>
      <c r="V20" s="9"/>
      <c r="W20" s="8"/>
      <c r="X20" s="8"/>
      <c r="Y20" s="8"/>
      <c r="Z20" s="8"/>
      <c r="AA20" s="8"/>
    </row>
    <row r="21" ht="15.75" customHeight="1">
      <c r="A21" s="58" t="s">
        <v>76</v>
      </c>
      <c r="B21" s="59">
        <f t="shared" ref="B21:B22" si="31">PI()*G4*(2*H4)</f>
        <v>95.00176184</v>
      </c>
      <c r="C21" s="60">
        <f>B21/'Scarab config xml'!$F$4</f>
        <v>3.029392916</v>
      </c>
      <c r="E21" s="59">
        <f>('Formuls '!$B$18*G4)/'Formuls '!$B$19</f>
        <v>73972602.74</v>
      </c>
      <c r="H21" s="61">
        <f t="shared" ref="H21:H27" si="32">0.455 / POWER(LOG10(E21), 2.58)</f>
        <v>0.002220899336</v>
      </c>
      <c r="J21" s="60">
        <f t="shared" ref="J21:J22" si="33">1 + (60 / POWER(($G4/(2*$H4)), 3)) + (0.0025 * ($G4/(2*$H4)))</f>
        <v>2.055215178</v>
      </c>
      <c r="L21" s="62">
        <f t="shared" ref="L21:L27" si="34">H21*J21*C21</f>
        <v>0.01382743987</v>
      </c>
      <c r="N21" s="9"/>
      <c r="O21" s="9"/>
      <c r="P21" s="9"/>
      <c r="Q21" s="9"/>
      <c r="R21" s="9"/>
      <c r="S21" s="9"/>
      <c r="T21" s="9"/>
      <c r="U21" s="9"/>
      <c r="V21" s="9"/>
      <c r="W21" s="8"/>
      <c r="X21" s="8"/>
      <c r="Y21" s="8"/>
      <c r="Z21" s="8"/>
      <c r="AA21" s="8"/>
    </row>
    <row r="22" ht="15.75" customHeight="1">
      <c r="A22" s="8" t="s">
        <v>78</v>
      </c>
      <c r="B22" s="59">
        <f t="shared" si="31"/>
        <v>7.539822369</v>
      </c>
      <c r="C22" s="60">
        <f>B22/'Scarab config xml'!$F$4</f>
        <v>0.2404280092</v>
      </c>
      <c r="E22" s="59">
        <f>('Formuls '!$B$18*G5)/'Formuls '!$B$19</f>
        <v>27397260.27</v>
      </c>
      <c r="H22" s="61">
        <f t="shared" si="32"/>
        <v>0.002568612469</v>
      </c>
      <c r="J22" s="60">
        <f t="shared" si="33"/>
        <v>1.219166667</v>
      </c>
      <c r="L22" s="62">
        <f t="shared" si="34"/>
        <v>0.0007529163477</v>
      </c>
      <c r="N22" s="9"/>
      <c r="O22" s="9"/>
      <c r="P22" s="9"/>
      <c r="Q22" s="9"/>
      <c r="R22" s="9"/>
      <c r="S22" s="9"/>
      <c r="T22" s="9"/>
      <c r="U22" s="9"/>
      <c r="V22" s="9"/>
      <c r="W22" s="8"/>
      <c r="X22" s="8"/>
      <c r="Y22" s="8"/>
      <c r="Z22" s="8"/>
      <c r="AA22" s="8"/>
    </row>
    <row r="23" ht="15.75" customHeight="1">
      <c r="A23" s="63" t="s">
        <v>79</v>
      </c>
      <c r="B23" s="64">
        <f>2*'Scarab config xml'!F4</f>
        <v>62.72</v>
      </c>
      <c r="C23" s="65">
        <f>B23/'Scarab config xml'!$F$4</f>
        <v>2</v>
      </c>
      <c r="E23" s="64">
        <f>('Formuls '!$B$18*'Scarab config xml'!F6)/'Formuls '!$B$19</f>
        <v>19178082.19</v>
      </c>
      <c r="H23" s="66">
        <f t="shared" si="32"/>
        <v>0.002711944334</v>
      </c>
      <c r="J23" s="65">
        <f>1 + (0.6 * (H6/'Scarab config xml'!F6)) + (100 * POWER((H6/'Scarab config xml'!F6), 4))</f>
        <v>1.05095403</v>
      </c>
      <c r="L23" s="67">
        <f t="shared" si="34"/>
        <v>0.005700257652</v>
      </c>
      <c r="N23" s="68"/>
      <c r="O23" s="9"/>
      <c r="P23" s="9"/>
      <c r="Q23" s="9"/>
      <c r="R23" s="9"/>
      <c r="S23" s="9"/>
      <c r="T23" s="9"/>
      <c r="U23" s="9"/>
      <c r="V23" s="9"/>
      <c r="W23" s="8"/>
      <c r="X23" s="8"/>
      <c r="Y23" s="8"/>
      <c r="Z23" s="8"/>
      <c r="AA23" s="8"/>
    </row>
    <row r="24" ht="15.75" customHeight="1">
      <c r="A24" s="69" t="s">
        <v>81</v>
      </c>
      <c r="B24" s="70">
        <f t="shared" ref="B24:B27" si="35">PI()*G7*(2*H7)</f>
        <v>9.047786842</v>
      </c>
      <c r="C24" s="71">
        <f>B24/'Scarab config xml'!$F$4</f>
        <v>0.288513611</v>
      </c>
      <c r="E24" s="70">
        <f>('Formuls '!$B$18*G7)/'Formuls '!$B$19</f>
        <v>16438356.16</v>
      </c>
      <c r="H24" s="72">
        <f t="shared" si="32"/>
        <v>0.002777335549</v>
      </c>
      <c r="J24" s="73">
        <v>1.2</v>
      </c>
      <c r="L24" s="74">
        <f t="shared" si="34"/>
        <v>0.0009615589299</v>
      </c>
      <c r="N24" s="75"/>
      <c r="O24" s="9"/>
      <c r="P24" s="9"/>
      <c r="Q24" s="9"/>
      <c r="R24" s="9"/>
      <c r="S24" s="9"/>
      <c r="T24" s="9"/>
      <c r="U24" s="9"/>
      <c r="V24" s="9"/>
      <c r="W24" s="8"/>
      <c r="X24" s="8"/>
      <c r="Y24" s="8"/>
      <c r="Z24" s="8"/>
      <c r="AA24" s="8"/>
    </row>
    <row r="25" ht="15.75" customHeight="1">
      <c r="A25" s="76" t="s">
        <v>82</v>
      </c>
      <c r="B25" s="77">
        <f t="shared" si="35"/>
        <v>9.047786842</v>
      </c>
      <c r="C25" s="78">
        <f>B25/'Scarab config xml'!$F$4</f>
        <v>0.288513611</v>
      </c>
      <c r="E25" s="77">
        <f>('Formuls '!$B$18*G8)/'Formuls '!$B$19</f>
        <v>16438356.16</v>
      </c>
      <c r="H25" s="79">
        <f t="shared" si="32"/>
        <v>0.002777335549</v>
      </c>
      <c r="J25" s="80">
        <v>1.2</v>
      </c>
      <c r="L25" s="67">
        <f t="shared" si="34"/>
        <v>0.0009615589299</v>
      </c>
      <c r="N25" s="68"/>
      <c r="O25" s="9"/>
      <c r="P25" s="9"/>
      <c r="Q25" s="9"/>
      <c r="R25" s="9"/>
      <c r="S25" s="9"/>
      <c r="T25" s="9"/>
      <c r="U25" s="9"/>
      <c r="V25" s="9"/>
      <c r="W25" s="8"/>
      <c r="X25" s="8"/>
      <c r="Y25" s="8"/>
      <c r="Z25" s="8"/>
      <c r="AA25" s="8"/>
    </row>
    <row r="26" ht="15.75" customHeight="1">
      <c r="A26" s="69" t="s">
        <v>83</v>
      </c>
      <c r="B26" s="70">
        <f t="shared" si="35"/>
        <v>3.769911184</v>
      </c>
      <c r="C26" s="71">
        <f>B26/'Scarab config xml'!$F$4</f>
        <v>0.1202140046</v>
      </c>
      <c r="E26" s="70">
        <f>('Formuls '!$B$18*G9)/'Formuls '!$B$19</f>
        <v>13698630.14</v>
      </c>
      <c r="H26" s="72">
        <f t="shared" si="32"/>
        <v>0.002857535194</v>
      </c>
      <c r="J26" s="73">
        <v>1.3</v>
      </c>
      <c r="L26" s="74">
        <f t="shared" si="34"/>
        <v>0.0004465704736</v>
      </c>
      <c r="N26" s="75"/>
      <c r="O26" s="9"/>
      <c r="P26" s="9"/>
      <c r="Q26" s="9"/>
      <c r="R26" s="9"/>
      <c r="S26" s="9"/>
      <c r="T26" s="9"/>
      <c r="U26" s="9"/>
      <c r="V26" s="9"/>
      <c r="W26" s="8"/>
      <c r="X26" s="8"/>
      <c r="Y26" s="8"/>
      <c r="Z26" s="8"/>
      <c r="AA26" s="8"/>
    </row>
    <row r="27" ht="15.75" customHeight="1">
      <c r="A27" s="76" t="s">
        <v>84</v>
      </c>
      <c r="B27" s="77">
        <f t="shared" si="35"/>
        <v>3.769911184</v>
      </c>
      <c r="C27" s="78">
        <f>B27/'Scarab config xml'!$F$4</f>
        <v>0.1202140046</v>
      </c>
      <c r="E27" s="77">
        <f>('Formuls '!$B$18*G10)/'Formuls '!$B$19</f>
        <v>13698630.14</v>
      </c>
      <c r="H27" s="79">
        <f t="shared" si="32"/>
        <v>0.002857535194</v>
      </c>
      <c r="J27" s="80">
        <v>1.3</v>
      </c>
      <c r="L27" s="67">
        <f t="shared" si="34"/>
        <v>0.0004465704736</v>
      </c>
      <c r="N27" s="68"/>
      <c r="O27" s="9"/>
      <c r="P27" s="9"/>
      <c r="Q27" s="9"/>
      <c r="R27" s="9"/>
      <c r="S27" s="9"/>
      <c r="T27" s="9"/>
      <c r="U27" s="9"/>
      <c r="V27" s="9"/>
      <c r="W27" s="8"/>
      <c r="X27" s="8"/>
      <c r="Y27" s="8"/>
      <c r="Z27" s="8"/>
      <c r="AA27" s="8"/>
    </row>
    <row r="28" ht="15.75" customHeight="1">
      <c r="A28" s="81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>
        <f>SUM(L21:M27)</f>
        <v>0.02309687267</v>
      </c>
      <c r="M28" s="84"/>
      <c r="O28" s="9"/>
      <c r="P28" s="9"/>
      <c r="Q28" s="9"/>
      <c r="R28" s="9"/>
      <c r="S28" s="9"/>
      <c r="T28" s="9"/>
      <c r="U28" s="9"/>
      <c r="V28" s="9"/>
      <c r="W28" s="8"/>
      <c r="X28" s="8"/>
      <c r="Y28" s="8"/>
      <c r="Z28" s="8"/>
      <c r="AA28" s="8"/>
    </row>
    <row r="29" ht="15.75" customHeight="1">
      <c r="A29" s="85"/>
      <c r="B29" s="86" t="s">
        <v>98</v>
      </c>
      <c r="C29" s="86" t="s">
        <v>99</v>
      </c>
      <c r="E29" s="86" t="s">
        <v>100</v>
      </c>
      <c r="L29" s="87"/>
      <c r="M29" s="87"/>
      <c r="N29" s="68"/>
      <c r="O29" s="9"/>
      <c r="P29" s="9"/>
      <c r="Q29" s="9"/>
      <c r="R29" s="9"/>
      <c r="S29" s="9"/>
      <c r="T29" s="9"/>
      <c r="U29" s="9"/>
      <c r="V29" s="9"/>
      <c r="W29" s="8"/>
      <c r="X29" s="8"/>
      <c r="Y29" s="8"/>
      <c r="Z29" s="8"/>
      <c r="AA29" s="8"/>
    </row>
    <row r="30" ht="15.75" customHeight="1">
      <c r="A30" s="69" t="s">
        <v>85</v>
      </c>
      <c r="B30" s="75">
        <f t="shared" ref="B30:B33" si="36">2*G11*2*H11</f>
        <v>0.48</v>
      </c>
      <c r="C30" s="88">
        <f>B30/'Scarab config xml'!$F$4</f>
        <v>0.01530612245</v>
      </c>
      <c r="E30" s="89">
        <v>0.32</v>
      </c>
      <c r="L30" s="74">
        <f t="shared" ref="L30:L33" si="37">E30*C30</f>
        <v>0.004897959184</v>
      </c>
      <c r="N30" s="75"/>
      <c r="O30" s="9"/>
      <c r="P30" s="9"/>
      <c r="Q30" s="9"/>
      <c r="R30" s="9"/>
      <c r="S30" s="9"/>
      <c r="T30" s="9"/>
      <c r="U30" s="9"/>
      <c r="V30" s="9"/>
      <c r="W30" s="8"/>
      <c r="X30" s="8"/>
      <c r="Y30" s="8"/>
      <c r="Z30" s="8"/>
      <c r="AA30" s="8"/>
    </row>
    <row r="31" ht="15.75" customHeight="1">
      <c r="A31" s="76" t="s">
        <v>87</v>
      </c>
      <c r="B31" s="68">
        <f t="shared" si="36"/>
        <v>0.48</v>
      </c>
      <c r="C31" s="90">
        <f>B31/'Scarab config xml'!$F$4</f>
        <v>0.01530612245</v>
      </c>
      <c r="E31" s="91">
        <v>0.32</v>
      </c>
      <c r="L31" s="67">
        <f t="shared" si="37"/>
        <v>0.004897959184</v>
      </c>
      <c r="N31" s="68"/>
      <c r="O31" s="9"/>
      <c r="P31" s="9"/>
      <c r="Q31" s="9"/>
      <c r="R31" s="9"/>
      <c r="S31" s="9"/>
      <c r="T31" s="9"/>
      <c r="U31" s="9"/>
      <c r="V31" s="9"/>
      <c r="W31" s="8"/>
      <c r="X31" s="8"/>
      <c r="Y31" s="8"/>
      <c r="Z31" s="8"/>
      <c r="AA31" s="8"/>
    </row>
    <row r="32" ht="15.75" customHeight="1">
      <c r="A32" s="69" t="s">
        <v>88</v>
      </c>
      <c r="B32" s="75">
        <f t="shared" si="36"/>
        <v>0.48</v>
      </c>
      <c r="C32" s="88">
        <f>B32/'Scarab config xml'!$F$4</f>
        <v>0.01530612245</v>
      </c>
      <c r="E32" s="89">
        <v>0.32</v>
      </c>
      <c r="L32" s="74">
        <f t="shared" si="37"/>
        <v>0.004897959184</v>
      </c>
      <c r="N32" s="75"/>
      <c r="O32" s="9"/>
      <c r="P32" s="9"/>
      <c r="Q32" s="9"/>
      <c r="R32" s="9"/>
      <c r="S32" s="9"/>
      <c r="T32" s="9"/>
      <c r="U32" s="9"/>
      <c r="V32" s="9"/>
      <c r="W32" s="8"/>
      <c r="X32" s="8"/>
      <c r="Y32" s="8"/>
      <c r="Z32" s="8"/>
      <c r="AA32" s="8"/>
    </row>
    <row r="33" ht="15.75" customHeight="1">
      <c r="A33" s="76" t="s">
        <v>89</v>
      </c>
      <c r="B33" s="68">
        <f t="shared" si="36"/>
        <v>0.48</v>
      </c>
      <c r="C33" s="90">
        <f>B33/'Scarab config xml'!$F$4</f>
        <v>0.01530612245</v>
      </c>
      <c r="E33" s="91">
        <v>0.32</v>
      </c>
      <c r="L33" s="67">
        <f t="shared" si="37"/>
        <v>0.004897959184</v>
      </c>
      <c r="N33" s="68"/>
      <c r="O33" s="9"/>
      <c r="P33" s="9"/>
      <c r="Q33" s="9"/>
      <c r="R33" s="9"/>
      <c r="S33" s="9"/>
      <c r="T33" s="9"/>
      <c r="U33" s="9"/>
      <c r="V33" s="9"/>
      <c r="W33" s="8"/>
      <c r="X33" s="8"/>
      <c r="Y33" s="8"/>
      <c r="Z33" s="8"/>
      <c r="AA33" s="8"/>
    </row>
    <row r="34" ht="15.75" customHeight="1">
      <c r="A34" s="92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83">
        <f>SUM(L30:M33)+L28</f>
        <v>0.04268870941</v>
      </c>
      <c r="M34" s="84"/>
      <c r="O34" s="9"/>
      <c r="P34" s="9"/>
      <c r="Q34" s="9"/>
      <c r="R34" s="9"/>
      <c r="S34" s="9"/>
      <c r="T34" s="9"/>
      <c r="U34" s="9"/>
      <c r="V34" s="9"/>
      <c r="W34" s="8"/>
      <c r="X34" s="8"/>
      <c r="Y34" s="8"/>
      <c r="Z34" s="8"/>
      <c r="AA34" s="8"/>
    </row>
    <row r="35" ht="15.75" customHeight="1">
      <c r="A35" s="8"/>
      <c r="B35" s="8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8"/>
      <c r="X35" s="8"/>
      <c r="Y35" s="8"/>
      <c r="Z35" s="8"/>
      <c r="AA35" s="8"/>
    </row>
    <row r="36" ht="15.75" customHeight="1">
      <c r="A36" s="55" t="s">
        <v>101</v>
      </c>
      <c r="B36" s="8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8"/>
      <c r="X36" s="8"/>
      <c r="Y36" s="8"/>
      <c r="Z36" s="8"/>
      <c r="AA36" s="8"/>
    </row>
    <row r="37" ht="15.75" customHeight="1">
      <c r="A37" s="8"/>
      <c r="B37" s="8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8"/>
      <c r="X37" s="8"/>
      <c r="Y37" s="8"/>
      <c r="Z37" s="8"/>
      <c r="AA37" s="8"/>
    </row>
    <row r="38" ht="15.75" customHeight="1">
      <c r="A38" s="57" t="s">
        <v>51</v>
      </c>
      <c r="B38" s="55" t="s">
        <v>92</v>
      </c>
      <c r="C38" s="53" t="s">
        <v>93</v>
      </c>
      <c r="E38" s="53" t="s">
        <v>102</v>
      </c>
      <c r="H38" s="54" t="s">
        <v>103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8"/>
      <c r="X38" s="8"/>
      <c r="Y38" s="8"/>
      <c r="Z38" s="8"/>
      <c r="AA38" s="8"/>
    </row>
    <row r="39" ht="15.75" customHeight="1">
      <c r="A39" s="58" t="s">
        <v>76</v>
      </c>
      <c r="B39" s="59">
        <f t="shared" ref="B39:B40" si="38">G4*(2*H4)</f>
        <v>30.24</v>
      </c>
      <c r="C39" s="60">
        <f>B39/'Scarab config xml'!$F$4</f>
        <v>0.9642857143</v>
      </c>
      <c r="E39" s="54">
        <v>0.15</v>
      </c>
      <c r="H39" s="62">
        <f t="shared" ref="H39:H40" si="39">E39*C39</f>
        <v>0.1446428571</v>
      </c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8"/>
      <c r="X39" s="8"/>
      <c r="Y39" s="8"/>
      <c r="Z39" s="8"/>
      <c r="AA39" s="8"/>
    </row>
    <row r="40" ht="15.75" customHeight="1">
      <c r="A40" s="8" t="s">
        <v>78</v>
      </c>
      <c r="B40" s="59">
        <f t="shared" si="38"/>
        <v>2.4</v>
      </c>
      <c r="C40" s="60">
        <f>B40/'Scarab config xml'!$F$4</f>
        <v>0.07653061224</v>
      </c>
      <c r="E40" s="54">
        <v>0.35</v>
      </c>
      <c r="H40" s="62">
        <f t="shared" si="39"/>
        <v>0.02678571429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8"/>
      <c r="X40" s="8"/>
      <c r="Y40" s="8"/>
      <c r="Z40" s="8"/>
      <c r="AA40" s="8"/>
    </row>
    <row r="41" ht="15.75" customHeight="1">
      <c r="A41" s="8"/>
      <c r="B41" s="8"/>
      <c r="C41" s="9"/>
      <c r="D41" s="9"/>
      <c r="E41" s="9"/>
      <c r="F41" s="9"/>
      <c r="G41" s="9"/>
      <c r="H41" s="83">
        <f>SUM(H39:I40)</f>
        <v>0.1714285714</v>
      </c>
      <c r="I41" s="84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8"/>
      <c r="X41" s="8"/>
      <c r="Y41" s="8"/>
      <c r="Z41" s="8"/>
      <c r="AA41" s="8"/>
    </row>
    <row r="42" ht="15.75" customHeight="1">
      <c r="A42" s="8"/>
      <c r="B42" s="8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8"/>
      <c r="X42" s="8"/>
      <c r="Y42" s="8"/>
      <c r="Z42" s="8"/>
      <c r="AA42" s="8"/>
    </row>
    <row r="43" ht="15.75" customHeight="1">
      <c r="A43" s="55" t="s">
        <v>104</v>
      </c>
      <c r="B43" s="8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8"/>
      <c r="X43" s="8"/>
      <c r="Y43" s="8"/>
      <c r="Z43" s="8"/>
      <c r="AA43" s="8"/>
    </row>
    <row r="44" ht="15.75" customHeight="1">
      <c r="A44" s="8"/>
      <c r="B44" s="55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8"/>
      <c r="X44" s="8"/>
      <c r="Y44" s="8"/>
      <c r="Z44" s="8"/>
      <c r="AA44" s="8"/>
    </row>
    <row r="45" ht="15.75" customHeight="1">
      <c r="A45" s="8"/>
      <c r="B45" s="55" t="s">
        <v>92</v>
      </c>
      <c r="C45" s="53" t="s">
        <v>93</v>
      </c>
      <c r="E45" s="53" t="s">
        <v>102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8"/>
      <c r="X45" s="8"/>
      <c r="Y45" s="8"/>
      <c r="Z45" s="8"/>
      <c r="AA45" s="8"/>
    </row>
    <row r="46" ht="15.75" customHeight="1">
      <c r="A46" s="58" t="s">
        <v>105</v>
      </c>
      <c r="B46" s="59">
        <f>'Scarab config xml'!F7</f>
        <v>5.9</v>
      </c>
      <c r="C46" s="60">
        <f>B46/'Scarab config xml'!$F$4</f>
        <v>0.1881377551</v>
      </c>
      <c r="E46" s="54">
        <v>0.25</v>
      </c>
      <c r="H46" s="83">
        <f>E46*C46</f>
        <v>0.04703443878</v>
      </c>
      <c r="I46" s="84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8"/>
      <c r="X46" s="8"/>
      <c r="Y46" s="8"/>
      <c r="Z46" s="8"/>
      <c r="AA46" s="8"/>
    </row>
    <row r="47" ht="15.75" customHeight="1">
      <c r="A47" s="8"/>
      <c r="B47" s="8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8"/>
      <c r="X47" s="8"/>
      <c r="Y47" s="8"/>
      <c r="Z47" s="8"/>
      <c r="AA47" s="8"/>
    </row>
    <row r="48" ht="15.75" customHeight="1">
      <c r="A48" s="8"/>
      <c r="B48" s="8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8"/>
      <c r="X48" s="8"/>
      <c r="Y48" s="8"/>
      <c r="Z48" s="8"/>
      <c r="AA48" s="8"/>
    </row>
    <row r="49" ht="15.75" customHeight="1">
      <c r="A49" s="8"/>
      <c r="B49" s="8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8"/>
      <c r="X49" s="8"/>
      <c r="Y49" s="8"/>
      <c r="Z49" s="8"/>
      <c r="AA49" s="8"/>
    </row>
    <row r="50" ht="15.75" customHeight="1">
      <c r="A50" s="8"/>
      <c r="B50" s="8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8"/>
      <c r="X50" s="8"/>
      <c r="Y50" s="8"/>
      <c r="Z50" s="8"/>
      <c r="AA50" s="8"/>
    </row>
    <row r="51" ht="15.75" customHeight="1">
      <c r="A51" s="8"/>
      <c r="B51" s="8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8"/>
      <c r="X51" s="8"/>
      <c r="Y51" s="8"/>
      <c r="Z51" s="8"/>
      <c r="AA51" s="8"/>
    </row>
    <row r="52" ht="15.75" customHeight="1">
      <c r="A52" s="8"/>
      <c r="B52" s="8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8"/>
      <c r="X52" s="8"/>
      <c r="Y52" s="8"/>
      <c r="Z52" s="8"/>
      <c r="AA52" s="8"/>
    </row>
    <row r="53" ht="15.75" customHeight="1">
      <c r="A53" s="8"/>
      <c r="B53" s="8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8"/>
      <c r="X53" s="8"/>
      <c r="Y53" s="8"/>
      <c r="Z53" s="8"/>
      <c r="AA53" s="8"/>
    </row>
    <row r="54" ht="15.75" customHeight="1">
      <c r="A54" s="8"/>
      <c r="B54" s="8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8"/>
      <c r="X54" s="8"/>
      <c r="Y54" s="8"/>
      <c r="Z54" s="8"/>
      <c r="AA54" s="8"/>
    </row>
    <row r="55" ht="15.75" customHeight="1">
      <c r="A55" s="8"/>
      <c r="B55" s="8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8"/>
      <c r="X55" s="8"/>
      <c r="Y55" s="8"/>
      <c r="Z55" s="8"/>
      <c r="AA55" s="8"/>
    </row>
    <row r="56" ht="15.75" customHeight="1">
      <c r="A56" s="8"/>
      <c r="B56" s="8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8"/>
      <c r="X56" s="8"/>
      <c r="Y56" s="8"/>
      <c r="Z56" s="8"/>
      <c r="AA56" s="8"/>
    </row>
    <row r="57" ht="15.75" customHeight="1">
      <c r="A57" s="8"/>
      <c r="B57" s="8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8"/>
      <c r="X57" s="8"/>
      <c r="Y57" s="8"/>
      <c r="Z57" s="8"/>
      <c r="AA57" s="8"/>
    </row>
    <row r="58" ht="15.75" customHeight="1">
      <c r="A58" s="8"/>
      <c r="B58" s="8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8"/>
      <c r="X58" s="8"/>
      <c r="Y58" s="8"/>
      <c r="Z58" s="8"/>
      <c r="AA58" s="8"/>
    </row>
    <row r="59" ht="15.75" customHeight="1">
      <c r="A59" s="8"/>
      <c r="B59" s="8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8"/>
      <c r="X59" s="8"/>
      <c r="Y59" s="8"/>
      <c r="Z59" s="8"/>
      <c r="AA59" s="8"/>
    </row>
    <row r="60" ht="15.75" customHeight="1">
      <c r="A60" s="8"/>
      <c r="B60" s="8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8"/>
      <c r="X60" s="8"/>
      <c r="Y60" s="8"/>
      <c r="Z60" s="8"/>
      <c r="AA60" s="8"/>
    </row>
    <row r="61" ht="15.75" customHeight="1">
      <c r="A61" s="8"/>
      <c r="B61" s="8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8"/>
      <c r="X61" s="8"/>
      <c r="Y61" s="8"/>
      <c r="Z61" s="8"/>
      <c r="AA61" s="8"/>
    </row>
    <row r="62" ht="15.75" customHeight="1">
      <c r="A62" s="8"/>
      <c r="B62" s="8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8"/>
      <c r="X62" s="8"/>
      <c r="Y62" s="8"/>
      <c r="Z62" s="8"/>
      <c r="AA62" s="8"/>
    </row>
    <row r="63" ht="15.75" customHeight="1">
      <c r="A63" s="8"/>
      <c r="B63" s="8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8"/>
      <c r="X63" s="8"/>
      <c r="Y63" s="8"/>
      <c r="Z63" s="8"/>
      <c r="AA63" s="8"/>
    </row>
    <row r="64" ht="15.75" customHeight="1">
      <c r="A64" s="8"/>
      <c r="B64" s="8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8"/>
      <c r="X64" s="8"/>
      <c r="Y64" s="8"/>
      <c r="Z64" s="8"/>
      <c r="AA64" s="8"/>
    </row>
    <row r="65" ht="15.75" customHeight="1">
      <c r="A65" s="8"/>
      <c r="B65" s="8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8"/>
      <c r="X65" s="8"/>
      <c r="Y65" s="8"/>
      <c r="Z65" s="8"/>
      <c r="AA65" s="8"/>
    </row>
    <row r="66" ht="15.75" customHeight="1">
      <c r="A66" s="8"/>
      <c r="B66" s="8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8"/>
      <c r="X66" s="8"/>
      <c r="Y66" s="8"/>
      <c r="Z66" s="8"/>
      <c r="AA66" s="8"/>
    </row>
    <row r="67" ht="15.75" customHeight="1">
      <c r="A67" s="8"/>
      <c r="B67" s="8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8"/>
      <c r="X67" s="8"/>
      <c r="Y67" s="8"/>
      <c r="Z67" s="8"/>
      <c r="AA67" s="8"/>
    </row>
    <row r="68" ht="15.75" customHeight="1">
      <c r="A68" s="8"/>
      <c r="B68" s="8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8"/>
      <c r="X68" s="8"/>
      <c r="Y68" s="8"/>
      <c r="Z68" s="8"/>
      <c r="AA68" s="8"/>
    </row>
    <row r="69" ht="15.75" customHeight="1">
      <c r="A69" s="8"/>
      <c r="B69" s="8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8"/>
      <c r="X69" s="8"/>
      <c r="Y69" s="8"/>
      <c r="Z69" s="8"/>
      <c r="AA69" s="8"/>
    </row>
    <row r="70" ht="15.75" customHeight="1">
      <c r="A70" s="8"/>
      <c r="B70" s="8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8"/>
      <c r="X70" s="8"/>
      <c r="Y70" s="8"/>
      <c r="Z70" s="8"/>
      <c r="AA70" s="8"/>
    </row>
    <row r="71" ht="15.75" customHeight="1">
      <c r="A71" s="8"/>
      <c r="B71" s="8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8"/>
      <c r="X71" s="8"/>
      <c r="Y71" s="8"/>
      <c r="Z71" s="8"/>
      <c r="AA71" s="8"/>
    </row>
    <row r="72" ht="15.75" customHeight="1">
      <c r="A72" s="8"/>
      <c r="B72" s="8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8"/>
      <c r="X72" s="8"/>
      <c r="Y72" s="8"/>
      <c r="Z72" s="8"/>
      <c r="AA72" s="8"/>
    </row>
    <row r="73" ht="15.75" customHeight="1">
      <c r="A73" s="8"/>
      <c r="B73" s="8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8"/>
      <c r="X73" s="8"/>
      <c r="Y73" s="8"/>
      <c r="Z73" s="8"/>
      <c r="AA73" s="8"/>
    </row>
    <row r="74" ht="15.75" customHeight="1">
      <c r="A74" s="8"/>
      <c r="B74" s="8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8"/>
      <c r="X74" s="8"/>
      <c r="Y74" s="8"/>
      <c r="Z74" s="8"/>
      <c r="AA74" s="8"/>
    </row>
    <row r="75" ht="15.75" customHeight="1">
      <c r="A75" s="8"/>
      <c r="B75" s="8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8"/>
      <c r="X75" s="8"/>
      <c r="Y75" s="8"/>
      <c r="Z75" s="8"/>
      <c r="AA75" s="8"/>
    </row>
    <row r="76" ht="15.75" customHeight="1">
      <c r="A76" s="8"/>
      <c r="B76" s="8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8"/>
      <c r="X76" s="8"/>
      <c r="Y76" s="8"/>
      <c r="Z76" s="8"/>
      <c r="AA76" s="8"/>
    </row>
    <row r="77" ht="15.75" customHeight="1">
      <c r="A77" s="8"/>
      <c r="B77" s="8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8"/>
      <c r="X77" s="8"/>
      <c r="Y77" s="8"/>
      <c r="Z77" s="8"/>
      <c r="AA77" s="8"/>
    </row>
    <row r="78" ht="15.75" customHeight="1">
      <c r="A78" s="8"/>
      <c r="B78" s="8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8"/>
      <c r="X78" s="8"/>
      <c r="Y78" s="8"/>
      <c r="Z78" s="8"/>
      <c r="AA78" s="8"/>
    </row>
    <row r="79" ht="15.75" customHeight="1">
      <c r="A79" s="8"/>
      <c r="B79" s="8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8"/>
      <c r="X79" s="8"/>
      <c r="Y79" s="8"/>
      <c r="Z79" s="8"/>
      <c r="AA79" s="8"/>
    </row>
    <row r="80" ht="15.75" customHeight="1">
      <c r="A80" s="8"/>
      <c r="B80" s="8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8"/>
      <c r="X80" s="8"/>
      <c r="Y80" s="8"/>
      <c r="Z80" s="8"/>
      <c r="AA80" s="8"/>
    </row>
    <row r="81" ht="15.75" customHeight="1">
      <c r="A81" s="8"/>
      <c r="B81" s="8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8"/>
      <c r="X81" s="8"/>
      <c r="Y81" s="8"/>
      <c r="Z81" s="8"/>
      <c r="AA81" s="8"/>
    </row>
    <row r="82" ht="15.75" customHeight="1">
      <c r="A82" s="8"/>
      <c r="B82" s="8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8"/>
      <c r="X82" s="8"/>
      <c r="Y82" s="8"/>
      <c r="Z82" s="8"/>
      <c r="AA82" s="8"/>
    </row>
    <row r="83" ht="15.75" customHeight="1">
      <c r="A83" s="8"/>
      <c r="B83" s="8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8"/>
      <c r="X83" s="8"/>
      <c r="Y83" s="8"/>
      <c r="Z83" s="8"/>
      <c r="AA83" s="8"/>
    </row>
    <row r="84" ht="15.75" customHeight="1">
      <c r="A84" s="8"/>
      <c r="B84" s="8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8"/>
      <c r="X84" s="8"/>
      <c r="Y84" s="8"/>
      <c r="Z84" s="8"/>
      <c r="AA84" s="8"/>
    </row>
    <row r="85" ht="15.75" customHeight="1">
      <c r="A85" s="8"/>
      <c r="B85" s="8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8"/>
      <c r="X85" s="8"/>
      <c r="Y85" s="8"/>
      <c r="Z85" s="8"/>
      <c r="AA85" s="8"/>
    </row>
    <row r="86" ht="15.75" customHeight="1">
      <c r="A86" s="8"/>
      <c r="B86" s="8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8"/>
      <c r="X86" s="8"/>
      <c r="Y86" s="8"/>
      <c r="Z86" s="8"/>
      <c r="AA86" s="8"/>
    </row>
    <row r="87" ht="15.75" customHeight="1">
      <c r="A87" s="8"/>
      <c r="B87" s="8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8"/>
      <c r="X87" s="8"/>
      <c r="Y87" s="8"/>
      <c r="Z87" s="8"/>
      <c r="AA87" s="8"/>
    </row>
    <row r="88" ht="15.75" customHeight="1">
      <c r="A88" s="8"/>
      <c r="B88" s="8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8"/>
      <c r="X88" s="8"/>
      <c r="Y88" s="8"/>
      <c r="Z88" s="8"/>
      <c r="AA88" s="8"/>
    </row>
    <row r="89" ht="15.75" customHeight="1">
      <c r="A89" s="8"/>
      <c r="B89" s="8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8"/>
      <c r="X89" s="8"/>
      <c r="Y89" s="8"/>
      <c r="Z89" s="8"/>
      <c r="AA89" s="8"/>
    </row>
    <row r="90" ht="15.75" customHeight="1">
      <c r="A90" s="8"/>
      <c r="B90" s="8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8"/>
      <c r="X90" s="8"/>
      <c r="Y90" s="8"/>
      <c r="Z90" s="8"/>
      <c r="AA90" s="8"/>
    </row>
    <row r="91" ht="15.75" customHeight="1">
      <c r="A91" s="8"/>
      <c r="B91" s="8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8"/>
      <c r="X91" s="8"/>
      <c r="Y91" s="8"/>
      <c r="Z91" s="8"/>
      <c r="AA91" s="8"/>
    </row>
    <row r="92" ht="15.75" customHeight="1">
      <c r="A92" s="8"/>
      <c r="B92" s="8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8"/>
      <c r="X92" s="8"/>
      <c r="Y92" s="8"/>
      <c r="Z92" s="8"/>
      <c r="AA92" s="8"/>
    </row>
    <row r="93" ht="15.75" customHeight="1">
      <c r="A93" s="8"/>
      <c r="B93" s="8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8"/>
      <c r="X93" s="8"/>
      <c r="Y93" s="8"/>
      <c r="Z93" s="8"/>
      <c r="AA93" s="8"/>
    </row>
    <row r="94" ht="15.75" customHeight="1">
      <c r="A94" s="8"/>
      <c r="B94" s="8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8"/>
      <c r="X94" s="8"/>
      <c r="Y94" s="8"/>
      <c r="Z94" s="8"/>
      <c r="AA94" s="8"/>
    </row>
    <row r="95" ht="15.75" customHeight="1">
      <c r="A95" s="8"/>
      <c r="B95" s="8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8"/>
      <c r="X95" s="8"/>
      <c r="Y95" s="8"/>
      <c r="Z95" s="8"/>
      <c r="AA95" s="8"/>
    </row>
    <row r="96" ht="15.75" customHeight="1">
      <c r="A96" s="8"/>
      <c r="B96" s="8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8"/>
      <c r="X96" s="8"/>
      <c r="Y96" s="8"/>
      <c r="Z96" s="8"/>
      <c r="AA96" s="8"/>
    </row>
    <row r="97" ht="15.75" customHeight="1">
      <c r="A97" s="8"/>
      <c r="B97" s="8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8"/>
      <c r="X97" s="8"/>
      <c r="Y97" s="8"/>
      <c r="Z97" s="8"/>
      <c r="AA97" s="8"/>
    </row>
    <row r="98" ht="15.75" customHeight="1">
      <c r="A98" s="8"/>
      <c r="B98" s="8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8"/>
      <c r="X98" s="8"/>
      <c r="Y98" s="8"/>
      <c r="Z98" s="8"/>
      <c r="AA98" s="8"/>
    </row>
    <row r="99" ht="15.75" customHeight="1">
      <c r="A99" s="8"/>
      <c r="B99" s="8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8"/>
      <c r="X99" s="8"/>
      <c r="Y99" s="8"/>
      <c r="Z99" s="8"/>
      <c r="AA99" s="8"/>
    </row>
    <row r="100" ht="15.75" customHeight="1">
      <c r="A100" s="8"/>
      <c r="B100" s="8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8"/>
      <c r="X100" s="8"/>
      <c r="Y100" s="8"/>
      <c r="Z100" s="8"/>
      <c r="AA100" s="8"/>
    </row>
    <row r="101" ht="15.75" customHeight="1">
      <c r="A101" s="8"/>
      <c r="B101" s="8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8"/>
      <c r="X101" s="8"/>
      <c r="Y101" s="8"/>
      <c r="Z101" s="8"/>
      <c r="AA101" s="8"/>
    </row>
    <row r="102" ht="15.75" customHeight="1">
      <c r="A102" s="8"/>
      <c r="B102" s="8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8"/>
      <c r="X102" s="8"/>
      <c r="Y102" s="8"/>
      <c r="Z102" s="8"/>
      <c r="AA102" s="8"/>
    </row>
    <row r="103" ht="15.75" customHeight="1">
      <c r="A103" s="8"/>
      <c r="B103" s="8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8"/>
      <c r="X103" s="8"/>
      <c r="Y103" s="8"/>
      <c r="Z103" s="8"/>
      <c r="AA103" s="8"/>
    </row>
    <row r="104" ht="15.75" customHeight="1">
      <c r="A104" s="8"/>
      <c r="B104" s="8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8"/>
      <c r="X104" s="8"/>
      <c r="Y104" s="8"/>
      <c r="Z104" s="8"/>
      <c r="AA104" s="8"/>
    </row>
    <row r="105" ht="15.75" customHeight="1">
      <c r="A105" s="8"/>
      <c r="B105" s="8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8"/>
      <c r="X105" s="8"/>
      <c r="Y105" s="8"/>
      <c r="Z105" s="8"/>
      <c r="AA105" s="8"/>
    </row>
    <row r="106" ht="15.75" customHeight="1">
      <c r="A106" s="8"/>
      <c r="B106" s="8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8"/>
      <c r="X106" s="8"/>
      <c r="Y106" s="8"/>
      <c r="Z106" s="8"/>
      <c r="AA106" s="8"/>
    </row>
    <row r="107" ht="15.75" customHeight="1">
      <c r="A107" s="8"/>
      <c r="B107" s="8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8"/>
      <c r="X107" s="8"/>
      <c r="Y107" s="8"/>
      <c r="Z107" s="8"/>
      <c r="AA107" s="8"/>
    </row>
    <row r="108" ht="15.75" customHeight="1">
      <c r="A108" s="8"/>
      <c r="B108" s="8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8"/>
      <c r="X108" s="8"/>
      <c r="Y108" s="8"/>
      <c r="Z108" s="8"/>
      <c r="AA108" s="8"/>
    </row>
    <row r="109" ht="15.75" customHeight="1">
      <c r="A109" s="8"/>
      <c r="B109" s="8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8"/>
      <c r="X109" s="8"/>
      <c r="Y109" s="8"/>
      <c r="Z109" s="8"/>
      <c r="AA109" s="8"/>
    </row>
    <row r="110" ht="15.75" customHeight="1">
      <c r="A110" s="8"/>
      <c r="B110" s="8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8"/>
      <c r="X110" s="8"/>
      <c r="Y110" s="8"/>
      <c r="Z110" s="8"/>
      <c r="AA110" s="8"/>
    </row>
    <row r="111" ht="15.75" customHeight="1">
      <c r="A111" s="8"/>
      <c r="B111" s="8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8"/>
      <c r="X111" s="8"/>
      <c r="Y111" s="8"/>
      <c r="Z111" s="8"/>
      <c r="AA111" s="8"/>
    </row>
    <row r="112" ht="15.75" customHeight="1">
      <c r="A112" s="8"/>
      <c r="B112" s="8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8"/>
      <c r="X112" s="8"/>
      <c r="Y112" s="8"/>
      <c r="Z112" s="8"/>
      <c r="AA112" s="8"/>
    </row>
    <row r="113" ht="15.75" customHeight="1">
      <c r="A113" s="8"/>
      <c r="B113" s="8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8"/>
      <c r="X113" s="8"/>
      <c r="Y113" s="8"/>
      <c r="Z113" s="8"/>
      <c r="AA113" s="8"/>
    </row>
    <row r="114" ht="15.75" customHeight="1">
      <c r="A114" s="8"/>
      <c r="B114" s="8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8"/>
      <c r="X114" s="8"/>
      <c r="Y114" s="8"/>
      <c r="Z114" s="8"/>
      <c r="AA114" s="8"/>
    </row>
    <row r="115" ht="15.75" customHeight="1">
      <c r="A115" s="8"/>
      <c r="B115" s="8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8"/>
      <c r="X115" s="8"/>
      <c r="Y115" s="8"/>
      <c r="Z115" s="8"/>
      <c r="AA115" s="8"/>
    </row>
    <row r="116" ht="15.75" customHeight="1">
      <c r="A116" s="8"/>
      <c r="B116" s="8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8"/>
      <c r="X116" s="8"/>
      <c r="Y116" s="8"/>
      <c r="Z116" s="8"/>
      <c r="AA116" s="8"/>
    </row>
    <row r="117" ht="15.75" customHeight="1">
      <c r="A117" s="8"/>
      <c r="B117" s="8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8"/>
      <c r="X117" s="8"/>
      <c r="Y117" s="8"/>
      <c r="Z117" s="8"/>
      <c r="AA117" s="8"/>
    </row>
    <row r="118" ht="15.75" customHeight="1">
      <c r="A118" s="8"/>
      <c r="B118" s="8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8"/>
      <c r="X118" s="8"/>
      <c r="Y118" s="8"/>
      <c r="Z118" s="8"/>
      <c r="AA118" s="8"/>
    </row>
    <row r="119" ht="15.75" customHeight="1">
      <c r="A119" s="8"/>
      <c r="B119" s="8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8"/>
      <c r="X119" s="8"/>
      <c r="Y119" s="8"/>
      <c r="Z119" s="8"/>
      <c r="AA119" s="8"/>
    </row>
    <row r="120" ht="15.75" customHeight="1">
      <c r="A120" s="8"/>
      <c r="B120" s="8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8"/>
      <c r="X120" s="8"/>
      <c r="Y120" s="8"/>
      <c r="Z120" s="8"/>
      <c r="AA120" s="8"/>
    </row>
    <row r="121" ht="15.75" customHeight="1">
      <c r="A121" s="8"/>
      <c r="B121" s="8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8"/>
      <c r="X121" s="8"/>
      <c r="Y121" s="8"/>
      <c r="Z121" s="8"/>
      <c r="AA121" s="8"/>
    </row>
    <row r="122" ht="15.75" customHeight="1">
      <c r="A122" s="8"/>
      <c r="B122" s="8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8"/>
      <c r="X122" s="8"/>
      <c r="Y122" s="8"/>
      <c r="Z122" s="8"/>
      <c r="AA122" s="8"/>
    </row>
    <row r="123" ht="15.75" customHeight="1">
      <c r="A123" s="8"/>
      <c r="B123" s="8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8"/>
      <c r="X123" s="8"/>
      <c r="Y123" s="8"/>
      <c r="Z123" s="8"/>
      <c r="AA123" s="8"/>
    </row>
    <row r="124" ht="15.75" customHeight="1">
      <c r="A124" s="8"/>
      <c r="B124" s="8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8"/>
      <c r="X124" s="8"/>
      <c r="Y124" s="8"/>
      <c r="Z124" s="8"/>
      <c r="AA124" s="8"/>
    </row>
    <row r="125" ht="15.75" customHeight="1">
      <c r="A125" s="8"/>
      <c r="B125" s="8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8"/>
      <c r="X125" s="8"/>
      <c r="Y125" s="8"/>
      <c r="Z125" s="8"/>
      <c r="AA125" s="8"/>
    </row>
    <row r="126" ht="15.75" customHeight="1">
      <c r="A126" s="8"/>
      <c r="B126" s="8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8"/>
      <c r="X126" s="8"/>
      <c r="Y126" s="8"/>
      <c r="Z126" s="8"/>
      <c r="AA126" s="8"/>
    </row>
    <row r="127" ht="15.75" customHeight="1">
      <c r="A127" s="8"/>
      <c r="B127" s="8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8"/>
      <c r="X127" s="8"/>
      <c r="Y127" s="8"/>
      <c r="Z127" s="8"/>
      <c r="AA127" s="8"/>
    </row>
    <row r="128" ht="15.75" customHeight="1">
      <c r="A128" s="8"/>
      <c r="B128" s="8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8"/>
      <c r="X128" s="8"/>
      <c r="Y128" s="8"/>
      <c r="Z128" s="8"/>
      <c r="AA128" s="8"/>
    </row>
    <row r="129" ht="15.75" customHeight="1">
      <c r="A129" s="8"/>
      <c r="B129" s="8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8"/>
      <c r="X129" s="8"/>
      <c r="Y129" s="8"/>
      <c r="Z129" s="8"/>
      <c r="AA129" s="8"/>
    </row>
    <row r="130" ht="15.75" customHeight="1">
      <c r="A130" s="8"/>
      <c r="B130" s="8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8"/>
      <c r="X130" s="8"/>
      <c r="Y130" s="8"/>
      <c r="Z130" s="8"/>
      <c r="AA130" s="8"/>
    </row>
    <row r="131" ht="15.75" customHeight="1">
      <c r="A131" s="8"/>
      <c r="B131" s="8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8"/>
      <c r="X131" s="8"/>
      <c r="Y131" s="8"/>
      <c r="Z131" s="8"/>
      <c r="AA131" s="8"/>
    </row>
    <row r="132" ht="15.75" customHeight="1">
      <c r="A132" s="8"/>
      <c r="B132" s="8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8"/>
      <c r="X132" s="8"/>
      <c r="Y132" s="8"/>
      <c r="Z132" s="8"/>
      <c r="AA132" s="8"/>
    </row>
    <row r="133" ht="15.75" customHeight="1">
      <c r="A133" s="8"/>
      <c r="B133" s="8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8"/>
      <c r="X133" s="8"/>
      <c r="Y133" s="8"/>
      <c r="Z133" s="8"/>
      <c r="AA133" s="8"/>
    </row>
    <row r="134" ht="15.75" customHeight="1">
      <c r="A134" s="8"/>
      <c r="B134" s="8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8"/>
      <c r="X134" s="8"/>
      <c r="Y134" s="8"/>
      <c r="Z134" s="8"/>
      <c r="AA134" s="8"/>
    </row>
    <row r="135" ht="15.75" customHeight="1">
      <c r="A135" s="8"/>
      <c r="B135" s="8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8"/>
      <c r="X135" s="8"/>
      <c r="Y135" s="8"/>
      <c r="Z135" s="8"/>
      <c r="AA135" s="8"/>
    </row>
    <row r="136" ht="15.75" customHeight="1">
      <c r="A136" s="8"/>
      <c r="B136" s="8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8"/>
      <c r="X136" s="8"/>
      <c r="Y136" s="8"/>
      <c r="Z136" s="8"/>
      <c r="AA136" s="8"/>
    </row>
    <row r="137" ht="15.75" customHeight="1">
      <c r="A137" s="8"/>
      <c r="B137" s="8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8"/>
      <c r="X137" s="8"/>
      <c r="Y137" s="8"/>
      <c r="Z137" s="8"/>
      <c r="AA137" s="8"/>
    </row>
    <row r="138" ht="15.75" customHeight="1">
      <c r="A138" s="8"/>
      <c r="B138" s="8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8"/>
      <c r="X138" s="8"/>
      <c r="Y138" s="8"/>
      <c r="Z138" s="8"/>
      <c r="AA138" s="8"/>
    </row>
    <row r="139" ht="15.75" customHeight="1">
      <c r="A139" s="8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8"/>
      <c r="X139" s="8"/>
      <c r="Y139" s="8"/>
      <c r="Z139" s="8"/>
      <c r="AA139" s="8"/>
    </row>
    <row r="140" ht="15.75" customHeight="1">
      <c r="A140" s="8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8"/>
      <c r="X140" s="8"/>
      <c r="Y140" s="8"/>
      <c r="Z140" s="8"/>
      <c r="AA140" s="8"/>
    </row>
    <row r="141" ht="15.75" customHeight="1">
      <c r="A141" s="8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8"/>
      <c r="X141" s="8"/>
      <c r="Y141" s="8"/>
      <c r="Z141" s="8"/>
      <c r="AA141" s="8"/>
    </row>
    <row r="142" ht="15.75" customHeight="1">
      <c r="A142" s="8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8"/>
      <c r="X142" s="8"/>
      <c r="Y142" s="8"/>
      <c r="Z142" s="8"/>
      <c r="AA142" s="8"/>
    </row>
    <row r="143" ht="15.75" customHeight="1">
      <c r="A143" s="8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8"/>
      <c r="X143" s="8"/>
      <c r="Y143" s="8"/>
      <c r="Z143" s="8"/>
      <c r="AA143" s="8"/>
    </row>
    <row r="144" ht="15.75" customHeight="1">
      <c r="A144" s="8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8"/>
      <c r="X144" s="8"/>
      <c r="Y144" s="8"/>
      <c r="Z144" s="8"/>
      <c r="AA144" s="8"/>
    </row>
    <row r="145" ht="15.75" customHeight="1">
      <c r="A145" s="8"/>
      <c r="B145" s="8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8"/>
      <c r="X145" s="8"/>
      <c r="Y145" s="8"/>
      <c r="Z145" s="8"/>
      <c r="AA145" s="8"/>
    </row>
    <row r="146" ht="15.75" customHeight="1">
      <c r="A146" s="8"/>
      <c r="B146" s="8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8"/>
      <c r="X146" s="8"/>
      <c r="Y146" s="8"/>
      <c r="Z146" s="8"/>
      <c r="AA146" s="8"/>
    </row>
    <row r="147" ht="15.75" customHeight="1">
      <c r="A147" s="8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8"/>
      <c r="X147" s="8"/>
      <c r="Y147" s="8"/>
      <c r="Z147" s="8"/>
      <c r="AA147" s="8"/>
    </row>
    <row r="148" ht="15.75" customHeight="1">
      <c r="A148" s="8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8"/>
      <c r="X148" s="8"/>
      <c r="Y148" s="8"/>
      <c r="Z148" s="8"/>
      <c r="AA148" s="8"/>
    </row>
    <row r="149" ht="15.75" customHeight="1">
      <c r="A149" s="8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8"/>
      <c r="X149" s="8"/>
      <c r="Y149" s="8"/>
      <c r="Z149" s="8"/>
      <c r="AA149" s="8"/>
    </row>
    <row r="150" ht="15.75" customHeight="1">
      <c r="A150" s="8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8"/>
      <c r="X150" s="8"/>
      <c r="Y150" s="8"/>
      <c r="Z150" s="8"/>
      <c r="AA150" s="8"/>
    </row>
    <row r="151" ht="15.75" customHeight="1">
      <c r="A151" s="8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8"/>
      <c r="X151" s="8"/>
      <c r="Y151" s="8"/>
      <c r="Z151" s="8"/>
      <c r="AA151" s="8"/>
    </row>
    <row r="152" ht="15.75" customHeight="1">
      <c r="A152" s="8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8"/>
      <c r="X152" s="8"/>
      <c r="Y152" s="8"/>
      <c r="Z152" s="8"/>
      <c r="AA152" s="8"/>
    </row>
    <row r="153" ht="15.75" customHeight="1">
      <c r="A153" s="8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8"/>
      <c r="X153" s="8"/>
      <c r="Y153" s="8"/>
      <c r="Z153" s="8"/>
      <c r="AA153" s="8"/>
    </row>
    <row r="154" ht="15.75" customHeight="1">
      <c r="A154" s="8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8"/>
      <c r="X154" s="8"/>
      <c r="Y154" s="8"/>
      <c r="Z154" s="8"/>
      <c r="AA154" s="8"/>
    </row>
    <row r="155" ht="15.75" customHeight="1">
      <c r="A155" s="8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8"/>
      <c r="X155" s="8"/>
      <c r="Y155" s="8"/>
      <c r="Z155" s="8"/>
      <c r="AA155" s="8"/>
    </row>
    <row r="156" ht="15.75" customHeight="1">
      <c r="A156" s="8"/>
      <c r="B156" s="8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8"/>
      <c r="X156" s="8"/>
      <c r="Y156" s="8"/>
      <c r="Z156" s="8"/>
      <c r="AA156" s="8"/>
    </row>
    <row r="157" ht="15.75" customHeight="1">
      <c r="A157" s="8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8"/>
      <c r="X157" s="8"/>
      <c r="Y157" s="8"/>
      <c r="Z157" s="8"/>
      <c r="AA157" s="8"/>
    </row>
    <row r="158" ht="15.75" customHeight="1">
      <c r="A158" s="8"/>
      <c r="B158" s="8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8"/>
      <c r="X158" s="8"/>
      <c r="Y158" s="8"/>
      <c r="Z158" s="8"/>
      <c r="AA158" s="8"/>
    </row>
    <row r="159" ht="15.75" customHeight="1">
      <c r="A159" s="8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8"/>
      <c r="X159" s="8"/>
      <c r="Y159" s="8"/>
      <c r="Z159" s="8"/>
      <c r="AA159" s="8"/>
    </row>
    <row r="160" ht="15.75" customHeight="1">
      <c r="A160" s="8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8"/>
      <c r="X160" s="8"/>
      <c r="Y160" s="8"/>
      <c r="Z160" s="8"/>
      <c r="AA160" s="8"/>
    </row>
    <row r="161" ht="15.75" customHeight="1">
      <c r="A161" s="8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8"/>
      <c r="X161" s="8"/>
      <c r="Y161" s="8"/>
      <c r="Z161" s="8"/>
      <c r="AA161" s="8"/>
    </row>
    <row r="162" ht="15.75" customHeight="1">
      <c r="A162" s="8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8"/>
      <c r="X162" s="8"/>
      <c r="Y162" s="8"/>
      <c r="Z162" s="8"/>
      <c r="AA162" s="8"/>
    </row>
    <row r="163" ht="15.75" customHeight="1">
      <c r="A163" s="8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8"/>
      <c r="X163" s="8"/>
      <c r="Y163" s="8"/>
      <c r="Z163" s="8"/>
      <c r="AA163" s="8"/>
    </row>
    <row r="164" ht="15.75" customHeight="1">
      <c r="A164" s="8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8"/>
      <c r="X164" s="8"/>
      <c r="Y164" s="8"/>
      <c r="Z164" s="8"/>
      <c r="AA164" s="8"/>
    </row>
    <row r="165" ht="15.75" customHeight="1">
      <c r="A165" s="8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8"/>
      <c r="X165" s="8"/>
      <c r="Y165" s="8"/>
      <c r="Z165" s="8"/>
      <c r="AA165" s="8"/>
    </row>
    <row r="166" ht="15.75" customHeight="1">
      <c r="A166" s="8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8"/>
      <c r="X166" s="8"/>
      <c r="Y166" s="8"/>
      <c r="Z166" s="8"/>
      <c r="AA166" s="8"/>
    </row>
    <row r="167" ht="15.75" customHeight="1">
      <c r="A167" s="8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8"/>
      <c r="X167" s="8"/>
      <c r="Y167" s="8"/>
      <c r="Z167" s="8"/>
      <c r="AA167" s="8"/>
    </row>
    <row r="168" ht="15.75" customHeight="1">
      <c r="A168" s="8"/>
      <c r="B168" s="8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8"/>
      <c r="X168" s="8"/>
      <c r="Y168" s="8"/>
      <c r="Z168" s="8"/>
      <c r="AA168" s="8"/>
    </row>
    <row r="169" ht="15.75" customHeight="1">
      <c r="A169" s="8"/>
      <c r="B169" s="8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8"/>
      <c r="X169" s="8"/>
      <c r="Y169" s="8"/>
      <c r="Z169" s="8"/>
      <c r="AA169" s="8"/>
    </row>
    <row r="170" ht="15.75" customHeight="1">
      <c r="A170" s="8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8"/>
      <c r="X170" s="8"/>
      <c r="Y170" s="8"/>
      <c r="Z170" s="8"/>
      <c r="AA170" s="8"/>
    </row>
    <row r="171" ht="15.75" customHeight="1">
      <c r="A171" s="8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8"/>
      <c r="X171" s="8"/>
      <c r="Y171" s="8"/>
      <c r="Z171" s="8"/>
      <c r="AA171" s="8"/>
    </row>
    <row r="172" ht="15.75" customHeight="1">
      <c r="A172" s="8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8"/>
      <c r="X172" s="8"/>
      <c r="Y172" s="8"/>
      <c r="Z172" s="8"/>
      <c r="AA172" s="8"/>
    </row>
    <row r="173" ht="15.75" customHeight="1">
      <c r="A173" s="8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8"/>
      <c r="X173" s="8"/>
      <c r="Y173" s="8"/>
      <c r="Z173" s="8"/>
      <c r="AA173" s="8"/>
    </row>
    <row r="174" ht="15.75" customHeight="1">
      <c r="A174" s="8"/>
      <c r="B174" s="8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8"/>
      <c r="X174" s="8"/>
      <c r="Y174" s="8"/>
      <c r="Z174" s="8"/>
      <c r="AA174" s="8"/>
    </row>
    <row r="175" ht="15.75" customHeight="1">
      <c r="A175" s="8"/>
      <c r="B175" s="8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8"/>
      <c r="X175" s="8"/>
      <c r="Y175" s="8"/>
      <c r="Z175" s="8"/>
      <c r="AA175" s="8"/>
    </row>
    <row r="176" ht="15.75" customHeight="1">
      <c r="A176" s="8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8"/>
      <c r="X176" s="8"/>
      <c r="Y176" s="8"/>
      <c r="Z176" s="8"/>
      <c r="AA176" s="8"/>
    </row>
    <row r="177" ht="15.75" customHeight="1">
      <c r="A177" s="8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8"/>
      <c r="X177" s="8"/>
      <c r="Y177" s="8"/>
      <c r="Z177" s="8"/>
      <c r="AA177" s="8"/>
    </row>
    <row r="178" ht="15.75" customHeight="1">
      <c r="A178" s="8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8"/>
      <c r="X178" s="8"/>
      <c r="Y178" s="8"/>
      <c r="Z178" s="8"/>
      <c r="AA178" s="8"/>
    </row>
    <row r="179" ht="15.75" customHeight="1">
      <c r="A179" s="8"/>
      <c r="B179" s="8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8"/>
      <c r="X179" s="8"/>
      <c r="Y179" s="8"/>
      <c r="Z179" s="8"/>
      <c r="AA179" s="8"/>
    </row>
    <row r="180" ht="15.75" customHeight="1">
      <c r="A180" s="8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8"/>
      <c r="X180" s="8"/>
      <c r="Y180" s="8"/>
      <c r="Z180" s="8"/>
      <c r="AA180" s="8"/>
    </row>
    <row r="181" ht="15.75" customHeight="1">
      <c r="A181" s="8"/>
      <c r="B181" s="8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8"/>
      <c r="X181" s="8"/>
      <c r="Y181" s="8"/>
      <c r="Z181" s="8"/>
      <c r="AA181" s="8"/>
    </row>
    <row r="182" ht="15.75" customHeight="1">
      <c r="A182" s="8"/>
      <c r="B182" s="8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8"/>
      <c r="X182" s="8"/>
      <c r="Y182" s="8"/>
      <c r="Z182" s="8"/>
      <c r="AA182" s="8"/>
    </row>
    <row r="183" ht="15.75" customHeight="1">
      <c r="A183" s="8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8"/>
      <c r="X183" s="8"/>
      <c r="Y183" s="8"/>
      <c r="Z183" s="8"/>
      <c r="AA183" s="8"/>
    </row>
    <row r="184" ht="15.75" customHeight="1">
      <c r="A184" s="8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8"/>
      <c r="X184" s="8"/>
      <c r="Y184" s="8"/>
      <c r="Z184" s="8"/>
      <c r="AA184" s="8"/>
    </row>
    <row r="185" ht="15.75" customHeight="1">
      <c r="A185" s="8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8"/>
      <c r="X185" s="8"/>
      <c r="Y185" s="8"/>
      <c r="Z185" s="8"/>
      <c r="AA185" s="8"/>
    </row>
    <row r="186" ht="15.75" customHeight="1">
      <c r="A186" s="8"/>
      <c r="B186" s="8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8"/>
      <c r="X186" s="8"/>
      <c r="Y186" s="8"/>
      <c r="Z186" s="8"/>
      <c r="AA186" s="8"/>
    </row>
    <row r="187" ht="15.75" customHeight="1">
      <c r="A187" s="8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8"/>
      <c r="X187" s="8"/>
      <c r="Y187" s="8"/>
      <c r="Z187" s="8"/>
      <c r="AA187" s="8"/>
    </row>
    <row r="188" ht="15.75" customHeight="1">
      <c r="A188" s="8"/>
      <c r="B188" s="8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8"/>
      <c r="X188" s="8"/>
      <c r="Y188" s="8"/>
      <c r="Z188" s="8"/>
      <c r="AA188" s="8"/>
    </row>
    <row r="189" ht="15.75" customHeight="1">
      <c r="A189" s="8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8"/>
      <c r="X189" s="8"/>
      <c r="Y189" s="8"/>
      <c r="Z189" s="8"/>
      <c r="AA189" s="8"/>
    </row>
    <row r="190" ht="15.75" customHeight="1">
      <c r="A190" s="8"/>
      <c r="B190" s="8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8"/>
      <c r="X190" s="8"/>
      <c r="Y190" s="8"/>
      <c r="Z190" s="8"/>
      <c r="AA190" s="8"/>
    </row>
    <row r="191" ht="15.75" customHeight="1">
      <c r="A191" s="8"/>
      <c r="B191" s="8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8"/>
      <c r="X191" s="8"/>
      <c r="Y191" s="8"/>
      <c r="Z191" s="8"/>
      <c r="AA191" s="8"/>
    </row>
    <row r="192" ht="15.75" customHeight="1">
      <c r="A192" s="8"/>
      <c r="B192" s="8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8"/>
      <c r="X192" s="8"/>
      <c r="Y192" s="8"/>
      <c r="Z192" s="8"/>
      <c r="AA192" s="8"/>
    </row>
    <row r="193" ht="15.75" customHeight="1">
      <c r="A193" s="8"/>
      <c r="B193" s="8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8"/>
      <c r="X193" s="8"/>
      <c r="Y193" s="8"/>
      <c r="Z193" s="8"/>
      <c r="AA193" s="8"/>
    </row>
    <row r="194" ht="15.75" customHeight="1">
      <c r="A194" s="8"/>
      <c r="B194" s="8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8"/>
      <c r="X194" s="8"/>
      <c r="Y194" s="8"/>
      <c r="Z194" s="8"/>
      <c r="AA194" s="8"/>
    </row>
    <row r="195" ht="15.75" customHeight="1">
      <c r="A195" s="8"/>
      <c r="B195" s="8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8"/>
      <c r="X195" s="8"/>
      <c r="Y195" s="8"/>
      <c r="Z195" s="8"/>
      <c r="AA195" s="8"/>
    </row>
    <row r="196" ht="15.75" customHeight="1">
      <c r="A196" s="8"/>
      <c r="B196" s="8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8"/>
      <c r="X196" s="8"/>
      <c r="Y196" s="8"/>
      <c r="Z196" s="8"/>
      <c r="AA196" s="8"/>
    </row>
    <row r="197" ht="15.75" customHeight="1">
      <c r="A197" s="8"/>
      <c r="B197" s="8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8"/>
      <c r="X197" s="8"/>
      <c r="Y197" s="8"/>
      <c r="Z197" s="8"/>
      <c r="AA197" s="8"/>
    </row>
    <row r="198" ht="15.75" customHeight="1">
      <c r="A198" s="8"/>
      <c r="B198" s="8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8"/>
      <c r="X198" s="8"/>
      <c r="Y198" s="8"/>
      <c r="Z198" s="8"/>
      <c r="AA198" s="8"/>
    </row>
    <row r="199" ht="15.75" customHeight="1">
      <c r="A199" s="8"/>
      <c r="B199" s="8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8"/>
      <c r="X199" s="8"/>
      <c r="Y199" s="8"/>
      <c r="Z199" s="8"/>
      <c r="AA199" s="8"/>
    </row>
    <row r="200" ht="15.75" customHeight="1">
      <c r="A200" s="8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8"/>
      <c r="X200" s="8"/>
      <c r="Y200" s="8"/>
      <c r="Z200" s="8"/>
      <c r="AA200" s="8"/>
    </row>
    <row r="201" ht="15.75" customHeight="1">
      <c r="A201" s="8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8"/>
      <c r="X201" s="8"/>
      <c r="Y201" s="8"/>
      <c r="Z201" s="8"/>
      <c r="AA201" s="8"/>
    </row>
    <row r="202" ht="15.75" customHeight="1">
      <c r="A202" s="8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8"/>
      <c r="X202" s="8"/>
      <c r="Y202" s="8"/>
      <c r="Z202" s="8"/>
      <c r="AA202" s="8"/>
    </row>
    <row r="203" ht="15.75" customHeight="1">
      <c r="A203" s="8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8"/>
      <c r="X203" s="8"/>
      <c r="Y203" s="8"/>
      <c r="Z203" s="8"/>
      <c r="AA203" s="8"/>
    </row>
    <row r="204" ht="15.75" customHeight="1">
      <c r="A204" s="8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8"/>
      <c r="X204" s="8"/>
      <c r="Y204" s="8"/>
      <c r="Z204" s="8"/>
      <c r="AA204" s="8"/>
    </row>
    <row r="205" ht="15.75" customHeight="1">
      <c r="A205" s="8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8"/>
      <c r="X205" s="8"/>
      <c r="Y205" s="8"/>
      <c r="Z205" s="8"/>
      <c r="AA205" s="8"/>
    </row>
    <row r="206" ht="15.75" customHeight="1">
      <c r="A206" s="8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8"/>
      <c r="X206" s="8"/>
      <c r="Y206" s="8"/>
      <c r="Z206" s="8"/>
      <c r="AA206" s="8"/>
    </row>
    <row r="207" ht="15.75" customHeight="1">
      <c r="A207" s="8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8"/>
      <c r="X207" s="8"/>
      <c r="Y207" s="8"/>
      <c r="Z207" s="8"/>
      <c r="AA207" s="8"/>
    </row>
    <row r="208" ht="15.75" customHeight="1">
      <c r="A208" s="8"/>
      <c r="B208" s="8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8"/>
      <c r="X208" s="8"/>
      <c r="Y208" s="8"/>
      <c r="Z208" s="8"/>
      <c r="AA208" s="8"/>
    </row>
    <row r="209" ht="15.75" customHeight="1">
      <c r="A209" s="8"/>
      <c r="B209" s="8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8"/>
      <c r="X209" s="8"/>
      <c r="Y209" s="8"/>
      <c r="Z209" s="8"/>
      <c r="AA209" s="8"/>
    </row>
    <row r="210" ht="15.75" customHeight="1">
      <c r="A210" s="8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8"/>
      <c r="X210" s="8"/>
      <c r="Y210" s="8"/>
      <c r="Z210" s="8"/>
      <c r="AA210" s="8"/>
    </row>
    <row r="211" ht="15.75" customHeight="1">
      <c r="A211" s="8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8"/>
      <c r="X211" s="8"/>
      <c r="Y211" s="8"/>
      <c r="Z211" s="8"/>
      <c r="AA211" s="8"/>
    </row>
    <row r="212" ht="15.75" customHeight="1">
      <c r="A212" s="8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8"/>
      <c r="X212" s="8"/>
      <c r="Y212" s="8"/>
      <c r="Z212" s="8"/>
      <c r="AA212" s="8"/>
    </row>
    <row r="213" ht="15.75" customHeight="1">
      <c r="A213" s="8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8"/>
      <c r="X213" s="8"/>
      <c r="Y213" s="8"/>
      <c r="Z213" s="8"/>
      <c r="AA213" s="8"/>
    </row>
    <row r="214" ht="15.75" customHeight="1">
      <c r="A214" s="8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8"/>
      <c r="X214" s="8"/>
      <c r="Y214" s="8"/>
      <c r="Z214" s="8"/>
      <c r="AA214" s="8"/>
    </row>
    <row r="215" ht="15.75" customHeight="1">
      <c r="A215" s="8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8"/>
      <c r="X215" s="8"/>
      <c r="Y215" s="8"/>
      <c r="Z215" s="8"/>
      <c r="AA215" s="8"/>
    </row>
    <row r="216" ht="15.75" customHeight="1">
      <c r="A216" s="8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8"/>
      <c r="X216" s="8"/>
      <c r="Y216" s="8"/>
      <c r="Z216" s="8"/>
      <c r="AA216" s="8"/>
    </row>
    <row r="217" ht="15.75" customHeight="1">
      <c r="A217" s="8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8"/>
      <c r="X217" s="8"/>
      <c r="Y217" s="8"/>
      <c r="Z217" s="8"/>
      <c r="AA217" s="8"/>
    </row>
    <row r="218" ht="15.75" customHeight="1">
      <c r="A218" s="8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8"/>
      <c r="X218" s="8"/>
      <c r="Y218" s="8"/>
      <c r="Z218" s="8"/>
      <c r="AA218" s="8"/>
    </row>
    <row r="219" ht="15.75" customHeight="1">
      <c r="A219" s="8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8"/>
      <c r="X219" s="8"/>
      <c r="Y219" s="8"/>
      <c r="Z219" s="8"/>
      <c r="AA219" s="8"/>
    </row>
    <row r="220" ht="15.75" customHeight="1">
      <c r="A220" s="8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8"/>
      <c r="X220" s="8"/>
      <c r="Y220" s="8"/>
      <c r="Z220" s="8"/>
      <c r="AA220" s="8"/>
    </row>
    <row r="221" ht="15.75" customHeight="1">
      <c r="A221" s="8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8"/>
      <c r="X221" s="8"/>
      <c r="Y221" s="8"/>
      <c r="Z221" s="8"/>
      <c r="AA221" s="8"/>
    </row>
    <row r="222" ht="15.75" customHeight="1">
      <c r="A222" s="8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8"/>
      <c r="X222" s="8"/>
      <c r="Y222" s="8"/>
      <c r="Z222" s="8"/>
      <c r="AA222" s="8"/>
    </row>
    <row r="223" ht="15.75" customHeight="1">
      <c r="A223" s="8"/>
      <c r="B223" s="8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8"/>
      <c r="X223" s="8"/>
      <c r="Y223" s="8"/>
      <c r="Z223" s="8"/>
      <c r="AA223" s="8"/>
    </row>
    <row r="224" ht="15.75" customHeight="1">
      <c r="A224" s="8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8"/>
      <c r="X224" s="8"/>
      <c r="Y224" s="8"/>
      <c r="Z224" s="8"/>
      <c r="AA224" s="8"/>
    </row>
    <row r="225" ht="15.75" customHeight="1">
      <c r="A225" s="8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8"/>
      <c r="X225" s="8"/>
      <c r="Y225" s="8"/>
      <c r="Z225" s="8"/>
      <c r="AA225" s="8"/>
    </row>
    <row r="226" ht="15.75" customHeight="1">
      <c r="A226" s="8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8"/>
      <c r="X226" s="8"/>
      <c r="Y226" s="8"/>
      <c r="Z226" s="8"/>
      <c r="AA226" s="8"/>
    </row>
    <row r="227" ht="15.75" customHeight="1">
      <c r="A227" s="8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8"/>
      <c r="X227" s="8"/>
      <c r="Y227" s="8"/>
      <c r="Z227" s="8"/>
      <c r="AA227" s="8"/>
    </row>
    <row r="228" ht="15.75" customHeight="1">
      <c r="A228" s="8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8"/>
      <c r="X228" s="8"/>
      <c r="Y228" s="8"/>
      <c r="Z228" s="8"/>
      <c r="AA228" s="8"/>
    </row>
    <row r="229" ht="15.75" customHeight="1">
      <c r="A229" s="8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8"/>
      <c r="X229" s="8"/>
      <c r="Y229" s="8"/>
      <c r="Z229" s="8"/>
      <c r="AA229" s="8"/>
    </row>
    <row r="230" ht="15.75" customHeight="1">
      <c r="A230" s="8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8"/>
      <c r="X230" s="8"/>
      <c r="Y230" s="8"/>
      <c r="Z230" s="8"/>
      <c r="AA230" s="8"/>
    </row>
    <row r="231" ht="15.75" customHeight="1">
      <c r="A231" s="8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8"/>
      <c r="X231" s="8"/>
      <c r="Y231" s="8"/>
      <c r="Z231" s="8"/>
      <c r="AA231" s="8"/>
    </row>
    <row r="232" ht="15.75" customHeight="1">
      <c r="A232" s="8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8"/>
      <c r="X232" s="8"/>
      <c r="Y232" s="8"/>
      <c r="Z232" s="8"/>
      <c r="AA232" s="8"/>
    </row>
    <row r="233" ht="15.75" customHeight="1">
      <c r="A233" s="8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8"/>
      <c r="X233" s="8"/>
      <c r="Y233" s="8"/>
      <c r="Z233" s="8"/>
      <c r="AA233" s="8"/>
    </row>
    <row r="234" ht="15.75" customHeight="1">
      <c r="A234" s="8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8"/>
      <c r="X234" s="8"/>
      <c r="Y234" s="8"/>
      <c r="Z234" s="8"/>
      <c r="AA234" s="8"/>
    </row>
    <row r="235" ht="15.75" customHeight="1">
      <c r="A235" s="8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8"/>
      <c r="X235" s="8"/>
      <c r="Y235" s="8"/>
      <c r="Z235" s="8"/>
      <c r="AA235" s="8"/>
    </row>
    <row r="236" ht="15.75" customHeight="1">
      <c r="A236" s="8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8"/>
      <c r="X236" s="8"/>
      <c r="Y236" s="8"/>
      <c r="Z236" s="8"/>
      <c r="AA236" s="8"/>
    </row>
    <row r="237" ht="15.75" customHeight="1">
      <c r="A237" s="8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8"/>
      <c r="X237" s="8"/>
      <c r="Y237" s="8"/>
      <c r="Z237" s="8"/>
      <c r="AA237" s="8"/>
    </row>
    <row r="238" ht="15.75" customHeight="1">
      <c r="A238" s="8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8"/>
      <c r="X238" s="8"/>
      <c r="Y238" s="8"/>
      <c r="Z238" s="8"/>
      <c r="AA238" s="8"/>
    </row>
    <row r="239" ht="15.75" customHeight="1">
      <c r="A239" s="8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8"/>
      <c r="X239" s="8"/>
      <c r="Y239" s="8"/>
      <c r="Z239" s="8"/>
      <c r="AA239" s="8"/>
    </row>
    <row r="240" ht="15.75" customHeight="1">
      <c r="A240" s="8"/>
      <c r="B240" s="8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8"/>
      <c r="X240" s="8"/>
      <c r="Y240" s="8"/>
      <c r="Z240" s="8"/>
      <c r="AA240" s="8"/>
    </row>
    <row r="241" ht="15.75" customHeight="1">
      <c r="A241" s="8"/>
      <c r="B241" s="8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8"/>
      <c r="X241" s="8"/>
      <c r="Y241" s="8"/>
      <c r="Z241" s="8"/>
      <c r="AA241" s="8"/>
    </row>
    <row r="242" ht="15.75" customHeight="1">
      <c r="A242" s="8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8"/>
      <c r="X242" s="8"/>
      <c r="Y242" s="8"/>
      <c r="Z242" s="8"/>
      <c r="AA242" s="8"/>
    </row>
    <row r="243" ht="15.75" customHeight="1">
      <c r="A243" s="8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8"/>
      <c r="X243" s="8"/>
      <c r="Y243" s="8"/>
      <c r="Z243" s="8"/>
      <c r="AA243" s="8"/>
    </row>
    <row r="244" ht="15.75" customHeight="1">
      <c r="A244" s="8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8"/>
      <c r="X244" s="8"/>
      <c r="Y244" s="8"/>
      <c r="Z244" s="8"/>
      <c r="AA244" s="8"/>
    </row>
    <row r="245" ht="15.75" customHeight="1">
      <c r="A245" s="8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8"/>
      <c r="X245" s="8"/>
      <c r="Y245" s="8"/>
      <c r="Z245" s="8"/>
      <c r="AA245" s="8"/>
    </row>
    <row r="246" ht="15.75" customHeight="1">
      <c r="A246" s="8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8"/>
      <c r="X246" s="8"/>
      <c r="Y246" s="8"/>
      <c r="Z246" s="8"/>
      <c r="AA246" s="8"/>
    </row>
    <row r="247" ht="15.75" customHeight="1">
      <c r="A247" s="8"/>
      <c r="B247" s="8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8"/>
      <c r="X247" s="8"/>
      <c r="Y247" s="8"/>
      <c r="Z247" s="8"/>
      <c r="AA247" s="8"/>
    </row>
    <row r="248" ht="15.75" customHeight="1">
      <c r="A248" s="8"/>
      <c r="B248" s="8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8"/>
      <c r="X248" s="8"/>
      <c r="Y248" s="8"/>
      <c r="Z248" s="8"/>
      <c r="AA248" s="8"/>
    </row>
    <row r="249" ht="15.75" customHeight="1">
      <c r="A249" s="8"/>
      <c r="B249" s="8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8"/>
      <c r="X249" s="8"/>
      <c r="Y249" s="8"/>
      <c r="Z249" s="8"/>
      <c r="AA249" s="8"/>
    </row>
    <row r="250" ht="15.75" customHeight="1">
      <c r="A250" s="8"/>
      <c r="B250" s="8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8"/>
      <c r="X250" s="8"/>
      <c r="Y250" s="8"/>
      <c r="Z250" s="8"/>
      <c r="AA250" s="8"/>
    </row>
    <row r="251" ht="15.75" customHeight="1">
      <c r="A251" s="8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8"/>
      <c r="X251" s="8"/>
      <c r="Y251" s="8"/>
      <c r="Z251" s="8"/>
      <c r="AA251" s="8"/>
    </row>
    <row r="252" ht="15.75" customHeight="1">
      <c r="A252" s="8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8"/>
      <c r="X252" s="8"/>
      <c r="Y252" s="8"/>
      <c r="Z252" s="8"/>
      <c r="AA252" s="8"/>
    </row>
    <row r="253" ht="15.75" customHeight="1">
      <c r="A253" s="8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8"/>
      <c r="X253" s="8"/>
      <c r="Y253" s="8"/>
      <c r="Z253" s="8"/>
      <c r="AA253" s="8"/>
    </row>
    <row r="254" ht="15.75" customHeight="1">
      <c r="A254" s="8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8"/>
      <c r="X254" s="8"/>
      <c r="Y254" s="8"/>
      <c r="Z254" s="8"/>
      <c r="AA254" s="8"/>
    </row>
    <row r="255" ht="15.75" customHeight="1">
      <c r="A255" s="8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8"/>
      <c r="X255" s="8"/>
      <c r="Y255" s="8"/>
      <c r="Z255" s="8"/>
      <c r="AA255" s="8"/>
    </row>
    <row r="256" ht="15.75" customHeight="1">
      <c r="A256" s="8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8"/>
      <c r="X256" s="8"/>
      <c r="Y256" s="8"/>
      <c r="Z256" s="8"/>
      <c r="AA256" s="8"/>
    </row>
    <row r="257" ht="15.75" customHeight="1">
      <c r="A257" s="8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8"/>
      <c r="X257" s="8"/>
      <c r="Y257" s="8"/>
      <c r="Z257" s="8"/>
      <c r="AA257" s="8"/>
    </row>
    <row r="258" ht="15.75" customHeight="1">
      <c r="A258" s="8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8"/>
      <c r="X258" s="8"/>
      <c r="Y258" s="8"/>
      <c r="Z258" s="8"/>
      <c r="AA258" s="8"/>
    </row>
    <row r="259" ht="15.75" customHeight="1">
      <c r="A259" s="8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8"/>
      <c r="X259" s="8"/>
      <c r="Y259" s="8"/>
      <c r="Z259" s="8"/>
      <c r="AA259" s="8"/>
    </row>
    <row r="260" ht="15.75" customHeight="1">
      <c r="A260" s="8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8"/>
      <c r="X260" s="8"/>
      <c r="Y260" s="8"/>
      <c r="Z260" s="8"/>
      <c r="AA260" s="8"/>
    </row>
    <row r="261" ht="15.75" customHeight="1">
      <c r="A261" s="8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8"/>
      <c r="X261" s="8"/>
      <c r="Y261" s="8"/>
      <c r="Z261" s="8"/>
      <c r="AA261" s="8"/>
    </row>
    <row r="262" ht="15.75" customHeight="1">
      <c r="A262" s="8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8"/>
      <c r="X262" s="8"/>
      <c r="Y262" s="8"/>
      <c r="Z262" s="8"/>
      <c r="AA262" s="8"/>
    </row>
    <row r="263" ht="15.75" customHeight="1">
      <c r="A263" s="8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8"/>
      <c r="X263" s="8"/>
      <c r="Y263" s="8"/>
      <c r="Z263" s="8"/>
      <c r="AA263" s="8"/>
    </row>
    <row r="264" ht="15.75" customHeight="1">
      <c r="A264" s="8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8"/>
      <c r="X264" s="8"/>
      <c r="Y264" s="8"/>
      <c r="Z264" s="8"/>
      <c r="AA264" s="8"/>
    </row>
    <row r="265" ht="15.75" customHeight="1">
      <c r="A265" s="8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8"/>
      <c r="X265" s="8"/>
      <c r="Y265" s="8"/>
      <c r="Z265" s="8"/>
      <c r="AA265" s="8"/>
    </row>
    <row r="266" ht="15.75" customHeight="1">
      <c r="A266" s="8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8"/>
      <c r="X266" s="8"/>
      <c r="Y266" s="8"/>
      <c r="Z266" s="8"/>
      <c r="AA266" s="8"/>
    </row>
    <row r="267" ht="15.75" customHeight="1">
      <c r="A267" s="8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8"/>
      <c r="X267" s="8"/>
      <c r="Y267" s="8"/>
      <c r="Z267" s="8"/>
      <c r="AA267" s="8"/>
    </row>
    <row r="268" ht="15.75" customHeight="1">
      <c r="A268" s="8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8"/>
      <c r="X268" s="8"/>
      <c r="Y268" s="8"/>
      <c r="Z268" s="8"/>
      <c r="AA268" s="8"/>
    </row>
    <row r="269" ht="15.75" customHeight="1">
      <c r="A269" s="8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8"/>
      <c r="X269" s="8"/>
      <c r="Y269" s="8"/>
      <c r="Z269" s="8"/>
      <c r="AA269" s="8"/>
    </row>
    <row r="270" ht="15.75" customHeight="1">
      <c r="A270" s="8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8"/>
      <c r="X270" s="8"/>
      <c r="Y270" s="8"/>
      <c r="Z270" s="8"/>
      <c r="AA270" s="8"/>
    </row>
    <row r="271" ht="15.75" customHeight="1">
      <c r="A271" s="8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8"/>
      <c r="X271" s="8"/>
      <c r="Y271" s="8"/>
      <c r="Z271" s="8"/>
      <c r="AA271" s="8"/>
    </row>
    <row r="272" ht="15.75" customHeight="1">
      <c r="A272" s="8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8"/>
      <c r="X272" s="8"/>
      <c r="Y272" s="8"/>
      <c r="Z272" s="8"/>
      <c r="AA272" s="8"/>
    </row>
    <row r="273" ht="15.75" customHeight="1">
      <c r="A273" s="8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8"/>
      <c r="X273" s="8"/>
      <c r="Y273" s="8"/>
      <c r="Z273" s="8"/>
      <c r="AA273" s="8"/>
    </row>
    <row r="274" ht="15.75" customHeight="1">
      <c r="A274" s="8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8"/>
      <c r="X274" s="8"/>
      <c r="Y274" s="8"/>
      <c r="Z274" s="8"/>
      <c r="AA274" s="8"/>
    </row>
    <row r="275" ht="15.75" customHeight="1">
      <c r="A275" s="8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8"/>
      <c r="X275" s="8"/>
      <c r="Y275" s="8"/>
      <c r="Z275" s="8"/>
      <c r="AA275" s="8"/>
    </row>
    <row r="276" ht="15.75" customHeight="1">
      <c r="A276" s="8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8"/>
      <c r="X276" s="8"/>
      <c r="Y276" s="8"/>
      <c r="Z276" s="8"/>
      <c r="AA276" s="8"/>
    </row>
    <row r="277" ht="15.75" customHeight="1">
      <c r="A277" s="8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8"/>
      <c r="X277" s="8"/>
      <c r="Y277" s="8"/>
      <c r="Z277" s="8"/>
      <c r="AA277" s="8"/>
    </row>
    <row r="278" ht="15.75" customHeight="1">
      <c r="A278" s="8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8"/>
      <c r="X278" s="8"/>
      <c r="Y278" s="8"/>
      <c r="Z278" s="8"/>
      <c r="AA278" s="8"/>
    </row>
    <row r="279" ht="15.75" customHeight="1">
      <c r="A279" s="8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8"/>
      <c r="X279" s="8"/>
      <c r="Y279" s="8"/>
      <c r="Z279" s="8"/>
      <c r="AA279" s="8"/>
    </row>
    <row r="280" ht="15.75" customHeight="1">
      <c r="A280" s="8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8"/>
      <c r="X280" s="8"/>
      <c r="Y280" s="8"/>
      <c r="Z280" s="8"/>
      <c r="AA280" s="8"/>
    </row>
    <row r="281" ht="15.75" customHeight="1">
      <c r="A281" s="8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8"/>
      <c r="X281" s="8"/>
      <c r="Y281" s="8"/>
      <c r="Z281" s="8"/>
      <c r="AA281" s="8"/>
    </row>
    <row r="282" ht="15.75" customHeight="1">
      <c r="A282" s="8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8"/>
      <c r="X282" s="8"/>
      <c r="Y282" s="8"/>
      <c r="Z282" s="8"/>
      <c r="AA282" s="8"/>
    </row>
    <row r="283" ht="15.75" customHeight="1">
      <c r="A283" s="8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8"/>
      <c r="X283" s="8"/>
      <c r="Y283" s="8"/>
      <c r="Z283" s="8"/>
      <c r="AA283" s="8"/>
    </row>
    <row r="284" ht="15.75" customHeight="1">
      <c r="A284" s="8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8"/>
      <c r="X284" s="8"/>
      <c r="Y284" s="8"/>
      <c r="Z284" s="8"/>
      <c r="AA284" s="8"/>
    </row>
    <row r="285" ht="15.75" customHeight="1">
      <c r="A285" s="8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8"/>
      <c r="X285" s="8"/>
      <c r="Y285" s="8"/>
      <c r="Z285" s="8"/>
      <c r="AA285" s="8"/>
    </row>
    <row r="286" ht="15.75" customHeight="1">
      <c r="A286" s="8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8"/>
      <c r="X286" s="8"/>
      <c r="Y286" s="8"/>
      <c r="Z286" s="8"/>
      <c r="AA286" s="8"/>
    </row>
    <row r="287" ht="15.75" customHeight="1">
      <c r="A287" s="8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8"/>
      <c r="X287" s="8"/>
      <c r="Y287" s="8"/>
      <c r="Z287" s="8"/>
      <c r="AA287" s="8"/>
    </row>
    <row r="288" ht="15.75" customHeight="1">
      <c r="A288" s="8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8"/>
      <c r="X288" s="8"/>
      <c r="Y288" s="8"/>
      <c r="Z288" s="8"/>
      <c r="AA288" s="8"/>
    </row>
    <row r="289" ht="15.75" customHeight="1">
      <c r="A289" s="8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8"/>
      <c r="X289" s="8"/>
      <c r="Y289" s="8"/>
      <c r="Z289" s="8"/>
      <c r="AA289" s="8"/>
    </row>
    <row r="290" ht="15.75" customHeight="1">
      <c r="A290" s="8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8"/>
      <c r="X290" s="8"/>
      <c r="Y290" s="8"/>
      <c r="Z290" s="8"/>
      <c r="AA290" s="8"/>
    </row>
    <row r="291" ht="15.75" customHeight="1">
      <c r="A291" s="8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8"/>
      <c r="X291" s="8"/>
      <c r="Y291" s="8"/>
      <c r="Z291" s="8"/>
      <c r="AA291" s="8"/>
    </row>
    <row r="292" ht="15.75" customHeight="1">
      <c r="A292" s="8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8"/>
      <c r="X292" s="8"/>
      <c r="Y292" s="8"/>
      <c r="Z292" s="8"/>
      <c r="AA292" s="8"/>
    </row>
    <row r="293" ht="15.75" customHeight="1">
      <c r="A293" s="8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8"/>
      <c r="X293" s="8"/>
      <c r="Y293" s="8"/>
      <c r="Z293" s="8"/>
      <c r="AA293" s="8"/>
    </row>
    <row r="294" ht="15.75" customHeight="1">
      <c r="A294" s="8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8"/>
      <c r="X294" s="8"/>
      <c r="Y294" s="8"/>
      <c r="Z294" s="8"/>
      <c r="AA294" s="8"/>
    </row>
    <row r="295" ht="15.75" customHeight="1">
      <c r="A295" s="8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8"/>
      <c r="X295" s="8"/>
      <c r="Y295" s="8"/>
      <c r="Z295" s="8"/>
      <c r="AA295" s="8"/>
    </row>
    <row r="296" ht="15.75" customHeight="1">
      <c r="A296" s="8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8"/>
      <c r="X296" s="8"/>
      <c r="Y296" s="8"/>
      <c r="Z296" s="8"/>
      <c r="AA296" s="8"/>
    </row>
    <row r="297" ht="15.75" customHeight="1">
      <c r="A297" s="8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8"/>
      <c r="X297" s="8"/>
      <c r="Y297" s="8"/>
      <c r="Z297" s="8"/>
      <c r="AA297" s="8"/>
    </row>
    <row r="298" ht="15.75" customHeight="1">
      <c r="A298" s="8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8"/>
      <c r="X298" s="8"/>
      <c r="Y298" s="8"/>
      <c r="Z298" s="8"/>
      <c r="AA298" s="8"/>
    </row>
    <row r="299" ht="15.75" customHeight="1">
      <c r="A299" s="8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8"/>
      <c r="X299" s="8"/>
      <c r="Y299" s="8"/>
      <c r="Z299" s="8"/>
      <c r="AA299" s="8"/>
    </row>
    <row r="300" ht="15.75" customHeight="1">
      <c r="A300" s="8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8"/>
      <c r="X300" s="8"/>
      <c r="Y300" s="8"/>
      <c r="Z300" s="8"/>
      <c r="AA300" s="8"/>
    </row>
    <row r="301" ht="15.75" customHeight="1">
      <c r="A301" s="8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8"/>
      <c r="X301" s="8"/>
      <c r="Y301" s="8"/>
      <c r="Z301" s="8"/>
      <c r="AA301" s="8"/>
    </row>
    <row r="302" ht="15.75" customHeight="1">
      <c r="A302" s="8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8"/>
      <c r="X302" s="8"/>
      <c r="Y302" s="8"/>
      <c r="Z302" s="8"/>
      <c r="AA302" s="8"/>
    </row>
    <row r="303" ht="15.75" customHeight="1">
      <c r="A303" s="8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8"/>
      <c r="X303" s="8"/>
      <c r="Y303" s="8"/>
      <c r="Z303" s="8"/>
      <c r="AA303" s="8"/>
    </row>
    <row r="304" ht="15.75" customHeight="1">
      <c r="A304" s="8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8"/>
      <c r="X304" s="8"/>
      <c r="Y304" s="8"/>
      <c r="Z304" s="8"/>
      <c r="AA304" s="8"/>
    </row>
    <row r="305" ht="15.75" customHeight="1">
      <c r="A305" s="8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8"/>
      <c r="X305" s="8"/>
      <c r="Y305" s="8"/>
      <c r="Z305" s="8"/>
      <c r="AA305" s="8"/>
    </row>
    <row r="306" ht="15.75" customHeight="1">
      <c r="A306" s="8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8"/>
      <c r="X306" s="8"/>
      <c r="Y306" s="8"/>
      <c r="Z306" s="8"/>
      <c r="AA306" s="8"/>
    </row>
    <row r="307" ht="15.75" customHeight="1">
      <c r="A307" s="8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8"/>
      <c r="X307" s="8"/>
      <c r="Y307" s="8"/>
      <c r="Z307" s="8"/>
      <c r="AA307" s="8"/>
    </row>
    <row r="308" ht="15.75" customHeight="1">
      <c r="A308" s="8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8"/>
      <c r="X308" s="8"/>
      <c r="Y308" s="8"/>
      <c r="Z308" s="8"/>
      <c r="AA308" s="8"/>
    </row>
    <row r="309" ht="15.75" customHeight="1">
      <c r="A309" s="8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8"/>
      <c r="X309" s="8"/>
      <c r="Y309" s="8"/>
      <c r="Z309" s="8"/>
      <c r="AA309" s="8"/>
    </row>
    <row r="310" ht="15.75" customHeight="1">
      <c r="A310" s="8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8"/>
      <c r="X310" s="8"/>
      <c r="Y310" s="8"/>
      <c r="Z310" s="8"/>
      <c r="AA310" s="8"/>
    </row>
    <row r="311" ht="15.75" customHeight="1">
      <c r="A311" s="8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8"/>
      <c r="X311" s="8"/>
      <c r="Y311" s="8"/>
      <c r="Z311" s="8"/>
      <c r="AA311" s="8"/>
    </row>
    <row r="312" ht="15.75" customHeight="1">
      <c r="A312" s="8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8"/>
      <c r="X312" s="8"/>
      <c r="Y312" s="8"/>
      <c r="Z312" s="8"/>
      <c r="AA312" s="8"/>
    </row>
    <row r="313" ht="15.75" customHeight="1">
      <c r="A313" s="8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8"/>
      <c r="X313" s="8"/>
      <c r="Y313" s="8"/>
      <c r="Z313" s="8"/>
      <c r="AA313" s="8"/>
    </row>
    <row r="314" ht="15.75" customHeight="1">
      <c r="A314" s="8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8"/>
      <c r="X314" s="8"/>
      <c r="Y314" s="8"/>
      <c r="Z314" s="8"/>
      <c r="AA314" s="8"/>
    </row>
    <row r="315" ht="15.75" customHeight="1">
      <c r="A315" s="8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8"/>
      <c r="X315" s="8"/>
      <c r="Y315" s="8"/>
      <c r="Z315" s="8"/>
      <c r="AA315" s="8"/>
    </row>
    <row r="316" ht="15.75" customHeight="1">
      <c r="A316" s="8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8"/>
      <c r="X316" s="8"/>
      <c r="Y316" s="8"/>
      <c r="Z316" s="8"/>
      <c r="AA316" s="8"/>
    </row>
    <row r="317" ht="15.75" customHeight="1">
      <c r="A317" s="8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8"/>
      <c r="X317" s="8"/>
      <c r="Y317" s="8"/>
      <c r="Z317" s="8"/>
      <c r="AA317" s="8"/>
    </row>
    <row r="318" ht="15.75" customHeight="1">
      <c r="A318" s="8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8"/>
      <c r="X318" s="8"/>
      <c r="Y318" s="8"/>
      <c r="Z318" s="8"/>
      <c r="AA318" s="8"/>
    </row>
    <row r="319" ht="15.75" customHeight="1">
      <c r="A319" s="8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8"/>
      <c r="X319" s="8"/>
      <c r="Y319" s="8"/>
      <c r="Z319" s="8"/>
      <c r="AA319" s="8"/>
    </row>
    <row r="320" ht="15.75" customHeight="1">
      <c r="A320" s="8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8"/>
      <c r="X320" s="8"/>
      <c r="Y320" s="8"/>
      <c r="Z320" s="8"/>
      <c r="AA320" s="8"/>
    </row>
    <row r="321" ht="15.75" customHeight="1">
      <c r="A321" s="8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8"/>
      <c r="X321" s="8"/>
      <c r="Y321" s="8"/>
      <c r="Z321" s="8"/>
      <c r="AA321" s="8"/>
    </row>
    <row r="322" ht="15.75" customHeight="1">
      <c r="A322" s="8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8"/>
      <c r="X322" s="8"/>
      <c r="Y322" s="8"/>
      <c r="Z322" s="8"/>
      <c r="AA322" s="8"/>
    </row>
    <row r="323" ht="15.75" customHeight="1">
      <c r="A323" s="8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8"/>
      <c r="X323" s="8"/>
      <c r="Y323" s="8"/>
      <c r="Z323" s="8"/>
      <c r="AA323" s="8"/>
    </row>
    <row r="324" ht="15.75" customHeight="1">
      <c r="A324" s="8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8"/>
      <c r="X324" s="8"/>
      <c r="Y324" s="8"/>
      <c r="Z324" s="8"/>
      <c r="AA324" s="8"/>
    </row>
    <row r="325" ht="15.75" customHeight="1">
      <c r="A325" s="8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8"/>
      <c r="X325" s="8"/>
      <c r="Y325" s="8"/>
      <c r="Z325" s="8"/>
      <c r="AA325" s="8"/>
    </row>
    <row r="326" ht="15.75" customHeight="1">
      <c r="A326" s="8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8"/>
      <c r="X326" s="8"/>
      <c r="Y326" s="8"/>
      <c r="Z326" s="8"/>
      <c r="AA326" s="8"/>
    </row>
    <row r="327" ht="15.75" customHeight="1">
      <c r="A327" s="8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8"/>
      <c r="X327" s="8"/>
      <c r="Y327" s="8"/>
      <c r="Z327" s="8"/>
      <c r="AA327" s="8"/>
    </row>
    <row r="328" ht="15.75" customHeight="1">
      <c r="A328" s="8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8"/>
      <c r="X328" s="8"/>
      <c r="Y328" s="8"/>
      <c r="Z328" s="8"/>
      <c r="AA328" s="8"/>
    </row>
    <row r="329" ht="15.75" customHeight="1">
      <c r="A329" s="8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8"/>
      <c r="X329" s="8"/>
      <c r="Y329" s="8"/>
      <c r="Z329" s="8"/>
      <c r="AA329" s="8"/>
    </row>
    <row r="330" ht="15.75" customHeight="1">
      <c r="A330" s="8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8"/>
      <c r="X330" s="8"/>
      <c r="Y330" s="8"/>
      <c r="Z330" s="8"/>
      <c r="AA330" s="8"/>
    </row>
    <row r="331" ht="15.75" customHeight="1">
      <c r="A331" s="8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8"/>
      <c r="X331" s="8"/>
      <c r="Y331" s="8"/>
      <c r="Z331" s="8"/>
      <c r="AA331" s="8"/>
    </row>
    <row r="332" ht="15.75" customHeight="1">
      <c r="A332" s="8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8"/>
      <c r="X332" s="8"/>
      <c r="Y332" s="8"/>
      <c r="Z332" s="8"/>
      <c r="AA332" s="8"/>
    </row>
    <row r="333" ht="15.75" customHeight="1">
      <c r="A333" s="8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8"/>
      <c r="X333" s="8"/>
      <c r="Y333" s="8"/>
      <c r="Z333" s="8"/>
      <c r="AA333" s="8"/>
    </row>
    <row r="334" ht="15.75" customHeight="1">
      <c r="A334" s="8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8"/>
      <c r="X334" s="8"/>
      <c r="Y334" s="8"/>
      <c r="Z334" s="8"/>
      <c r="AA334" s="8"/>
    </row>
    <row r="335" ht="15.75" customHeight="1">
      <c r="A335" s="8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8"/>
      <c r="X335" s="8"/>
      <c r="Y335" s="8"/>
      <c r="Z335" s="8"/>
      <c r="AA335" s="8"/>
    </row>
    <row r="336" ht="15.75" customHeight="1">
      <c r="A336" s="8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8"/>
      <c r="X336" s="8"/>
      <c r="Y336" s="8"/>
      <c r="Z336" s="8"/>
      <c r="AA336" s="8"/>
    </row>
    <row r="337" ht="15.75" customHeight="1">
      <c r="A337" s="8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8"/>
      <c r="X337" s="8"/>
      <c r="Y337" s="8"/>
      <c r="Z337" s="8"/>
      <c r="AA337" s="8"/>
    </row>
    <row r="338" ht="15.75" customHeight="1">
      <c r="A338" s="8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8"/>
      <c r="X338" s="8"/>
      <c r="Y338" s="8"/>
      <c r="Z338" s="8"/>
      <c r="AA338" s="8"/>
    </row>
    <row r="339" ht="15.75" customHeight="1">
      <c r="A339" s="8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8"/>
      <c r="X339" s="8"/>
      <c r="Y339" s="8"/>
      <c r="Z339" s="8"/>
      <c r="AA339" s="8"/>
    </row>
    <row r="340" ht="15.75" customHeight="1">
      <c r="A340" s="8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8"/>
      <c r="X340" s="8"/>
      <c r="Y340" s="8"/>
      <c r="Z340" s="8"/>
      <c r="AA340" s="8"/>
    </row>
    <row r="341" ht="15.75" customHeight="1">
      <c r="A341" s="8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8"/>
      <c r="X341" s="8"/>
      <c r="Y341" s="8"/>
      <c r="Z341" s="8"/>
      <c r="AA341" s="8"/>
    </row>
    <row r="342" ht="15.75" customHeight="1">
      <c r="A342" s="8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8"/>
      <c r="X342" s="8"/>
      <c r="Y342" s="8"/>
      <c r="Z342" s="8"/>
      <c r="AA342" s="8"/>
    </row>
    <row r="343" ht="15.75" customHeight="1">
      <c r="A343" s="8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8"/>
      <c r="X343" s="8"/>
      <c r="Y343" s="8"/>
      <c r="Z343" s="8"/>
      <c r="AA343" s="8"/>
    </row>
    <row r="344" ht="15.75" customHeight="1">
      <c r="A344" s="8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8"/>
      <c r="X344" s="8"/>
      <c r="Y344" s="8"/>
      <c r="Z344" s="8"/>
      <c r="AA344" s="8"/>
    </row>
    <row r="345" ht="15.75" customHeight="1">
      <c r="A345" s="8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8"/>
      <c r="X345" s="8"/>
      <c r="Y345" s="8"/>
      <c r="Z345" s="8"/>
      <c r="AA345" s="8"/>
    </row>
    <row r="346" ht="15.75" customHeight="1">
      <c r="A346" s="8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8"/>
      <c r="X346" s="8"/>
      <c r="Y346" s="8"/>
      <c r="Z346" s="8"/>
      <c r="AA346" s="8"/>
    </row>
    <row r="347" ht="15.75" customHeight="1">
      <c r="A347" s="8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8"/>
      <c r="X347" s="8"/>
      <c r="Y347" s="8"/>
      <c r="Z347" s="8"/>
      <c r="AA347" s="8"/>
    </row>
    <row r="348" ht="15.75" customHeight="1">
      <c r="A348" s="8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8"/>
      <c r="X348" s="8"/>
      <c r="Y348" s="8"/>
      <c r="Z348" s="8"/>
      <c r="AA348" s="8"/>
    </row>
    <row r="349" ht="15.75" customHeight="1">
      <c r="A349" s="8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8"/>
      <c r="X349" s="8"/>
      <c r="Y349" s="8"/>
      <c r="Z349" s="8"/>
      <c r="AA349" s="8"/>
    </row>
    <row r="350" ht="15.75" customHeight="1">
      <c r="A350" s="8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8"/>
      <c r="X350" s="8"/>
      <c r="Y350" s="8"/>
      <c r="Z350" s="8"/>
      <c r="AA350" s="8"/>
    </row>
    <row r="351" ht="15.75" customHeight="1">
      <c r="A351" s="8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8"/>
      <c r="X351" s="8"/>
      <c r="Y351" s="8"/>
      <c r="Z351" s="8"/>
      <c r="AA351" s="8"/>
    </row>
    <row r="352" ht="15.75" customHeight="1">
      <c r="A352" s="8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8"/>
      <c r="X352" s="8"/>
      <c r="Y352" s="8"/>
      <c r="Z352" s="8"/>
      <c r="AA352" s="8"/>
    </row>
    <row r="353" ht="15.75" customHeight="1">
      <c r="A353" s="8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8"/>
      <c r="X353" s="8"/>
      <c r="Y353" s="8"/>
      <c r="Z353" s="8"/>
      <c r="AA353" s="8"/>
    </row>
    <row r="354" ht="15.75" customHeight="1">
      <c r="A354" s="8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8"/>
      <c r="X354" s="8"/>
      <c r="Y354" s="8"/>
      <c r="Z354" s="8"/>
      <c r="AA354" s="8"/>
    </row>
    <row r="355" ht="15.75" customHeight="1">
      <c r="A355" s="8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8"/>
      <c r="X355" s="8"/>
      <c r="Y355" s="8"/>
      <c r="Z355" s="8"/>
      <c r="AA355" s="8"/>
    </row>
    <row r="356" ht="15.75" customHeight="1">
      <c r="A356" s="8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8"/>
      <c r="X356" s="8"/>
      <c r="Y356" s="8"/>
      <c r="Z356" s="8"/>
      <c r="AA356" s="8"/>
    </row>
    <row r="357" ht="15.75" customHeight="1">
      <c r="A357" s="8"/>
      <c r="B357" s="8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8"/>
      <c r="X357" s="8"/>
      <c r="Y357" s="8"/>
      <c r="Z357" s="8"/>
      <c r="AA357" s="8"/>
    </row>
    <row r="358" ht="15.75" customHeight="1">
      <c r="A358" s="8"/>
      <c r="B358" s="8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8"/>
      <c r="X358" s="8"/>
      <c r="Y358" s="8"/>
      <c r="Z358" s="8"/>
      <c r="AA358" s="8"/>
    </row>
    <row r="359" ht="15.75" customHeight="1">
      <c r="A359" s="8"/>
      <c r="B359" s="8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8"/>
      <c r="X359" s="8"/>
      <c r="Y359" s="8"/>
      <c r="Z359" s="8"/>
      <c r="AA359" s="8"/>
    </row>
    <row r="360" ht="15.75" customHeight="1">
      <c r="A360" s="8"/>
      <c r="B360" s="8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8"/>
      <c r="X360" s="8"/>
      <c r="Y360" s="8"/>
      <c r="Z360" s="8"/>
      <c r="AA360" s="8"/>
    </row>
    <row r="361" ht="15.75" customHeight="1">
      <c r="A361" s="8"/>
      <c r="B361" s="8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8"/>
      <c r="X361" s="8"/>
      <c r="Y361" s="8"/>
      <c r="Z361" s="8"/>
      <c r="AA361" s="8"/>
    </row>
    <row r="362" ht="15.75" customHeight="1">
      <c r="A362" s="8"/>
      <c r="B362" s="8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8"/>
      <c r="X362" s="8"/>
      <c r="Y362" s="8"/>
      <c r="Z362" s="8"/>
      <c r="AA362" s="8"/>
    </row>
    <row r="363" ht="15.75" customHeight="1">
      <c r="A363" s="8"/>
      <c r="B363" s="8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8"/>
      <c r="X363" s="8"/>
      <c r="Y363" s="8"/>
      <c r="Z363" s="8"/>
      <c r="AA363" s="8"/>
    </row>
    <row r="364" ht="15.75" customHeight="1">
      <c r="A364" s="8"/>
      <c r="B364" s="8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8"/>
      <c r="X364" s="8"/>
      <c r="Y364" s="8"/>
      <c r="Z364" s="8"/>
      <c r="AA364" s="8"/>
    </row>
    <row r="365" ht="15.75" customHeight="1">
      <c r="A365" s="8"/>
      <c r="B365" s="8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8"/>
      <c r="X365" s="8"/>
      <c r="Y365" s="8"/>
      <c r="Z365" s="8"/>
      <c r="AA365" s="8"/>
    </row>
    <row r="366" ht="15.75" customHeight="1">
      <c r="A366" s="8"/>
      <c r="B366" s="8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8"/>
      <c r="X366" s="8"/>
      <c r="Y366" s="8"/>
      <c r="Z366" s="8"/>
      <c r="AA366" s="8"/>
    </row>
    <row r="367" ht="15.75" customHeight="1">
      <c r="A367" s="8"/>
      <c r="B367" s="8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8"/>
      <c r="X367" s="8"/>
      <c r="Y367" s="8"/>
      <c r="Z367" s="8"/>
      <c r="AA367" s="8"/>
    </row>
    <row r="368" ht="15.75" customHeight="1">
      <c r="A368" s="8"/>
      <c r="B368" s="8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8"/>
      <c r="X368" s="8"/>
      <c r="Y368" s="8"/>
      <c r="Z368" s="8"/>
      <c r="AA368" s="8"/>
    </row>
    <row r="369" ht="15.75" customHeight="1">
      <c r="A369" s="8"/>
      <c r="B369" s="8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8"/>
      <c r="X369" s="8"/>
      <c r="Y369" s="8"/>
      <c r="Z369" s="8"/>
      <c r="AA369" s="8"/>
    </row>
    <row r="370" ht="15.75" customHeight="1">
      <c r="A370" s="8"/>
      <c r="B370" s="8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8"/>
      <c r="X370" s="8"/>
      <c r="Y370" s="8"/>
      <c r="Z370" s="8"/>
      <c r="AA370" s="8"/>
    </row>
    <row r="371" ht="15.75" customHeight="1">
      <c r="A371" s="8"/>
      <c r="B371" s="8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8"/>
      <c r="X371" s="8"/>
      <c r="Y371" s="8"/>
      <c r="Z371" s="8"/>
      <c r="AA371" s="8"/>
    </row>
    <row r="372" ht="15.75" customHeight="1">
      <c r="A372" s="8"/>
      <c r="B372" s="8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8"/>
      <c r="X372" s="8"/>
      <c r="Y372" s="8"/>
      <c r="Z372" s="8"/>
      <c r="AA372" s="8"/>
    </row>
    <row r="373" ht="15.75" customHeight="1">
      <c r="A373" s="8"/>
      <c r="B373" s="8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8"/>
      <c r="X373" s="8"/>
      <c r="Y373" s="8"/>
      <c r="Z373" s="8"/>
      <c r="AA373" s="8"/>
    </row>
    <row r="374" ht="15.75" customHeight="1">
      <c r="A374" s="8"/>
      <c r="B374" s="8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8"/>
      <c r="X374" s="8"/>
      <c r="Y374" s="8"/>
      <c r="Z374" s="8"/>
      <c r="AA374" s="8"/>
    </row>
    <row r="375" ht="15.75" customHeight="1">
      <c r="A375" s="8"/>
      <c r="B375" s="8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8"/>
      <c r="X375" s="8"/>
      <c r="Y375" s="8"/>
      <c r="Z375" s="8"/>
      <c r="AA375" s="8"/>
    </row>
    <row r="376" ht="15.75" customHeight="1">
      <c r="A376" s="8"/>
      <c r="B376" s="8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8"/>
      <c r="X376" s="8"/>
      <c r="Y376" s="8"/>
      <c r="Z376" s="8"/>
      <c r="AA376" s="8"/>
    </row>
    <row r="377" ht="15.75" customHeight="1">
      <c r="A377" s="8"/>
      <c r="B377" s="8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8"/>
      <c r="X377" s="8"/>
      <c r="Y377" s="8"/>
      <c r="Z377" s="8"/>
      <c r="AA377" s="8"/>
    </row>
    <row r="378" ht="15.75" customHeight="1">
      <c r="A378" s="8"/>
      <c r="B378" s="8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8"/>
      <c r="X378" s="8"/>
      <c r="Y378" s="8"/>
      <c r="Z378" s="8"/>
      <c r="AA378" s="8"/>
    </row>
    <row r="379" ht="15.75" customHeight="1">
      <c r="A379" s="8"/>
      <c r="B379" s="8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8"/>
      <c r="X379" s="8"/>
      <c r="Y379" s="8"/>
      <c r="Z379" s="8"/>
      <c r="AA379" s="8"/>
    </row>
    <row r="380" ht="15.75" customHeight="1">
      <c r="A380" s="8"/>
      <c r="B380" s="8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8"/>
      <c r="X380" s="8"/>
      <c r="Y380" s="8"/>
      <c r="Z380" s="8"/>
      <c r="AA380" s="8"/>
    </row>
    <row r="381" ht="15.75" customHeight="1">
      <c r="A381" s="8"/>
      <c r="B381" s="8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8"/>
      <c r="X381" s="8"/>
      <c r="Y381" s="8"/>
      <c r="Z381" s="8"/>
      <c r="AA381" s="8"/>
    </row>
    <row r="382" ht="15.75" customHeight="1">
      <c r="A382" s="8"/>
      <c r="B382" s="8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8"/>
      <c r="X382" s="8"/>
      <c r="Y382" s="8"/>
      <c r="Z382" s="8"/>
      <c r="AA382" s="8"/>
    </row>
    <row r="383" ht="15.75" customHeight="1">
      <c r="A383" s="8"/>
      <c r="B383" s="8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8"/>
      <c r="X383" s="8"/>
      <c r="Y383" s="8"/>
      <c r="Z383" s="8"/>
      <c r="AA383" s="8"/>
    </row>
    <row r="384" ht="15.75" customHeight="1">
      <c r="A384" s="8"/>
      <c r="B384" s="8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8"/>
      <c r="X384" s="8"/>
      <c r="Y384" s="8"/>
      <c r="Z384" s="8"/>
      <c r="AA384" s="8"/>
    </row>
    <row r="385" ht="15.75" customHeight="1">
      <c r="A385" s="8"/>
      <c r="B385" s="8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8"/>
      <c r="X385" s="8"/>
      <c r="Y385" s="8"/>
      <c r="Z385" s="8"/>
      <c r="AA385" s="8"/>
    </row>
    <row r="386" ht="15.75" customHeight="1">
      <c r="A386" s="8"/>
      <c r="B386" s="8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8"/>
      <c r="X386" s="8"/>
      <c r="Y386" s="8"/>
      <c r="Z386" s="8"/>
      <c r="AA386" s="8"/>
    </row>
    <row r="387" ht="15.75" customHeight="1">
      <c r="A387" s="8"/>
      <c r="B387" s="8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8"/>
      <c r="X387" s="8"/>
      <c r="Y387" s="8"/>
      <c r="Z387" s="8"/>
      <c r="AA387" s="8"/>
    </row>
    <row r="388" ht="15.75" customHeight="1">
      <c r="A388" s="8"/>
      <c r="B388" s="8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8"/>
      <c r="X388" s="8"/>
      <c r="Y388" s="8"/>
      <c r="Z388" s="8"/>
      <c r="AA388" s="8"/>
    </row>
    <row r="389" ht="15.75" customHeight="1">
      <c r="A389" s="8"/>
      <c r="B389" s="8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8"/>
      <c r="X389" s="8"/>
      <c r="Y389" s="8"/>
      <c r="Z389" s="8"/>
      <c r="AA389" s="8"/>
    </row>
    <row r="390" ht="15.75" customHeight="1">
      <c r="A390" s="8"/>
      <c r="B390" s="8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8"/>
      <c r="X390" s="8"/>
      <c r="Y390" s="8"/>
      <c r="Z390" s="8"/>
      <c r="AA390" s="8"/>
    </row>
    <row r="391" ht="15.75" customHeight="1">
      <c r="A391" s="8"/>
      <c r="B391" s="8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8"/>
      <c r="X391" s="8"/>
      <c r="Y391" s="8"/>
      <c r="Z391" s="8"/>
      <c r="AA391" s="8"/>
    </row>
    <row r="392" ht="15.75" customHeight="1">
      <c r="A392" s="8"/>
      <c r="B392" s="8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8"/>
      <c r="X392" s="8"/>
      <c r="Y392" s="8"/>
      <c r="Z392" s="8"/>
      <c r="AA392" s="8"/>
    </row>
    <row r="393" ht="15.75" customHeight="1">
      <c r="A393" s="8"/>
      <c r="B393" s="8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8"/>
      <c r="X393" s="8"/>
      <c r="Y393" s="8"/>
      <c r="Z393" s="8"/>
      <c r="AA393" s="8"/>
    </row>
    <row r="394" ht="15.75" customHeight="1">
      <c r="A394" s="8"/>
      <c r="B394" s="8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8"/>
      <c r="X394" s="8"/>
      <c r="Y394" s="8"/>
      <c r="Z394" s="8"/>
      <c r="AA394" s="8"/>
    </row>
    <row r="395" ht="15.75" customHeight="1">
      <c r="A395" s="8"/>
      <c r="B395" s="8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8"/>
      <c r="X395" s="8"/>
      <c r="Y395" s="8"/>
      <c r="Z395" s="8"/>
      <c r="AA395" s="8"/>
    </row>
    <row r="396" ht="15.75" customHeight="1">
      <c r="A396" s="8"/>
      <c r="B396" s="8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8"/>
      <c r="X396" s="8"/>
      <c r="Y396" s="8"/>
      <c r="Z396" s="8"/>
      <c r="AA396" s="8"/>
    </row>
    <row r="397" ht="15.75" customHeight="1">
      <c r="A397" s="8"/>
      <c r="B397" s="8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8"/>
      <c r="X397" s="8"/>
      <c r="Y397" s="8"/>
      <c r="Z397" s="8"/>
      <c r="AA397" s="8"/>
    </row>
    <row r="398" ht="15.75" customHeight="1">
      <c r="A398" s="8"/>
      <c r="B398" s="8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8"/>
      <c r="X398" s="8"/>
      <c r="Y398" s="8"/>
      <c r="Z398" s="8"/>
      <c r="AA398" s="8"/>
    </row>
    <row r="399" ht="15.75" customHeight="1">
      <c r="A399" s="8"/>
      <c r="B399" s="8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8"/>
      <c r="X399" s="8"/>
      <c r="Y399" s="8"/>
      <c r="Z399" s="8"/>
      <c r="AA399" s="8"/>
    </row>
    <row r="400" ht="15.75" customHeight="1">
      <c r="A400" s="8"/>
      <c r="B400" s="8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8"/>
      <c r="X400" s="8"/>
      <c r="Y400" s="8"/>
      <c r="Z400" s="8"/>
      <c r="AA400" s="8"/>
    </row>
    <row r="401" ht="15.75" customHeight="1">
      <c r="A401" s="8"/>
      <c r="B401" s="8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8"/>
      <c r="X401" s="8"/>
      <c r="Y401" s="8"/>
      <c r="Z401" s="8"/>
      <c r="AA401" s="8"/>
    </row>
    <row r="402" ht="15.75" customHeight="1">
      <c r="A402" s="8"/>
      <c r="B402" s="8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8"/>
      <c r="X402" s="8"/>
      <c r="Y402" s="8"/>
      <c r="Z402" s="8"/>
      <c r="AA402" s="8"/>
    </row>
    <row r="403" ht="15.75" customHeight="1">
      <c r="A403" s="8"/>
      <c r="B403" s="8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8"/>
      <c r="X403" s="8"/>
      <c r="Y403" s="8"/>
      <c r="Z403" s="8"/>
      <c r="AA403" s="8"/>
    </row>
    <row r="404" ht="15.75" customHeight="1">
      <c r="A404" s="8"/>
      <c r="B404" s="8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8"/>
      <c r="X404" s="8"/>
      <c r="Y404" s="8"/>
      <c r="Z404" s="8"/>
      <c r="AA404" s="8"/>
    </row>
    <row r="405" ht="15.75" customHeight="1">
      <c r="A405" s="8"/>
      <c r="B405" s="8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8"/>
      <c r="X405" s="8"/>
      <c r="Y405" s="8"/>
      <c r="Z405" s="8"/>
      <c r="AA405" s="8"/>
    </row>
    <row r="406" ht="15.75" customHeight="1">
      <c r="A406" s="8"/>
      <c r="B406" s="8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8"/>
      <c r="X406" s="8"/>
      <c r="Y406" s="8"/>
      <c r="Z406" s="8"/>
      <c r="AA406" s="8"/>
    </row>
    <row r="407" ht="15.75" customHeight="1">
      <c r="A407" s="8"/>
      <c r="B407" s="8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8"/>
      <c r="X407" s="8"/>
      <c r="Y407" s="8"/>
      <c r="Z407" s="8"/>
      <c r="AA407" s="8"/>
    </row>
    <row r="408" ht="15.75" customHeight="1">
      <c r="A408" s="8"/>
      <c r="B408" s="8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8"/>
      <c r="X408" s="8"/>
      <c r="Y408" s="8"/>
      <c r="Z408" s="8"/>
      <c r="AA408" s="8"/>
    </row>
    <row r="409" ht="15.75" customHeight="1">
      <c r="A409" s="8"/>
      <c r="B409" s="8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8"/>
      <c r="X409" s="8"/>
      <c r="Y409" s="8"/>
      <c r="Z409" s="8"/>
      <c r="AA409" s="8"/>
    </row>
    <row r="410" ht="15.75" customHeight="1">
      <c r="A410" s="8"/>
      <c r="B410" s="8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8"/>
      <c r="X410" s="8"/>
      <c r="Y410" s="8"/>
      <c r="Z410" s="8"/>
      <c r="AA410" s="8"/>
    </row>
    <row r="411" ht="15.75" customHeight="1">
      <c r="A411" s="8"/>
      <c r="B411" s="8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8"/>
      <c r="X411" s="8"/>
      <c r="Y411" s="8"/>
      <c r="Z411" s="8"/>
      <c r="AA411" s="8"/>
    </row>
    <row r="412" ht="15.75" customHeight="1">
      <c r="A412" s="8"/>
      <c r="B412" s="8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8"/>
      <c r="X412" s="8"/>
      <c r="Y412" s="8"/>
      <c r="Z412" s="8"/>
      <c r="AA412" s="8"/>
    </row>
    <row r="413" ht="15.75" customHeight="1">
      <c r="A413" s="8"/>
      <c r="B413" s="8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8"/>
      <c r="X413" s="8"/>
      <c r="Y413" s="8"/>
      <c r="Z413" s="8"/>
      <c r="AA413" s="8"/>
    </row>
    <row r="414" ht="15.75" customHeight="1">
      <c r="A414" s="8"/>
      <c r="B414" s="8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8"/>
      <c r="X414" s="8"/>
      <c r="Y414" s="8"/>
      <c r="Z414" s="8"/>
      <c r="AA414" s="8"/>
    </row>
    <row r="415" ht="15.75" customHeight="1">
      <c r="A415" s="8"/>
      <c r="B415" s="8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8"/>
      <c r="X415" s="8"/>
      <c r="Y415" s="8"/>
      <c r="Z415" s="8"/>
      <c r="AA415" s="8"/>
    </row>
    <row r="416" ht="15.75" customHeight="1">
      <c r="A416" s="8"/>
      <c r="B416" s="8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8"/>
      <c r="X416" s="8"/>
      <c r="Y416" s="8"/>
      <c r="Z416" s="8"/>
      <c r="AA416" s="8"/>
    </row>
    <row r="417" ht="15.75" customHeight="1">
      <c r="A417" s="8"/>
      <c r="B417" s="8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8"/>
      <c r="X417" s="8"/>
      <c r="Y417" s="8"/>
      <c r="Z417" s="8"/>
      <c r="AA417" s="8"/>
    </row>
    <row r="418" ht="15.75" customHeight="1">
      <c r="A418" s="8"/>
      <c r="B418" s="8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8"/>
      <c r="X418" s="8"/>
      <c r="Y418" s="8"/>
      <c r="Z418" s="8"/>
      <c r="AA418" s="8"/>
    </row>
    <row r="419" ht="15.75" customHeight="1">
      <c r="A419" s="8"/>
      <c r="B419" s="8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8"/>
      <c r="X419" s="8"/>
      <c r="Y419" s="8"/>
      <c r="Z419" s="8"/>
      <c r="AA419" s="8"/>
    </row>
    <row r="420" ht="15.75" customHeight="1">
      <c r="A420" s="8"/>
      <c r="B420" s="8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8"/>
      <c r="X420" s="8"/>
      <c r="Y420" s="8"/>
      <c r="Z420" s="8"/>
      <c r="AA420" s="8"/>
    </row>
    <row r="421" ht="15.75" customHeight="1">
      <c r="A421" s="8"/>
      <c r="B421" s="8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8"/>
      <c r="X421" s="8"/>
      <c r="Y421" s="8"/>
      <c r="Z421" s="8"/>
      <c r="AA421" s="8"/>
    </row>
    <row r="422" ht="15.75" customHeight="1">
      <c r="A422" s="8"/>
      <c r="B422" s="8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8"/>
      <c r="X422" s="8"/>
      <c r="Y422" s="8"/>
      <c r="Z422" s="8"/>
      <c r="AA422" s="8"/>
    </row>
    <row r="423" ht="15.75" customHeight="1">
      <c r="A423" s="8"/>
      <c r="B423" s="8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8"/>
      <c r="X423" s="8"/>
      <c r="Y423" s="8"/>
      <c r="Z423" s="8"/>
      <c r="AA423" s="8"/>
    </row>
    <row r="424" ht="15.75" customHeight="1">
      <c r="A424" s="8"/>
      <c r="B424" s="8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8"/>
      <c r="X424" s="8"/>
      <c r="Y424" s="8"/>
      <c r="Z424" s="8"/>
      <c r="AA424" s="8"/>
    </row>
    <row r="425" ht="15.75" customHeight="1">
      <c r="A425" s="8"/>
      <c r="B425" s="8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8"/>
      <c r="X425" s="8"/>
      <c r="Y425" s="8"/>
      <c r="Z425" s="8"/>
      <c r="AA425" s="8"/>
    </row>
    <row r="426" ht="15.75" customHeight="1">
      <c r="A426" s="8"/>
      <c r="B426" s="8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8"/>
      <c r="X426" s="8"/>
      <c r="Y426" s="8"/>
      <c r="Z426" s="8"/>
      <c r="AA426" s="8"/>
    </row>
    <row r="427" ht="15.75" customHeight="1">
      <c r="A427" s="8"/>
      <c r="B427" s="8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8"/>
      <c r="X427" s="8"/>
      <c r="Y427" s="8"/>
      <c r="Z427" s="8"/>
      <c r="AA427" s="8"/>
    </row>
    <row r="428" ht="15.75" customHeight="1">
      <c r="A428" s="8"/>
      <c r="B428" s="8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8"/>
      <c r="X428" s="8"/>
      <c r="Y428" s="8"/>
      <c r="Z428" s="8"/>
      <c r="AA428" s="8"/>
    </row>
    <row r="429" ht="15.75" customHeight="1">
      <c r="A429" s="8"/>
      <c r="B429" s="8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8"/>
      <c r="X429" s="8"/>
      <c r="Y429" s="8"/>
      <c r="Z429" s="8"/>
      <c r="AA429" s="8"/>
    </row>
    <row r="430" ht="15.75" customHeight="1">
      <c r="A430" s="8"/>
      <c r="B430" s="8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8"/>
      <c r="X430" s="8"/>
      <c r="Y430" s="8"/>
      <c r="Z430" s="8"/>
      <c r="AA430" s="8"/>
    </row>
    <row r="431" ht="15.75" customHeight="1">
      <c r="A431" s="8"/>
      <c r="B431" s="8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8"/>
      <c r="X431" s="8"/>
      <c r="Y431" s="8"/>
      <c r="Z431" s="8"/>
      <c r="AA431" s="8"/>
    </row>
    <row r="432" ht="15.75" customHeight="1">
      <c r="A432" s="8"/>
      <c r="B432" s="8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8"/>
      <c r="X432" s="8"/>
      <c r="Y432" s="8"/>
      <c r="Z432" s="8"/>
      <c r="AA432" s="8"/>
    </row>
    <row r="433" ht="15.75" customHeight="1">
      <c r="A433" s="8"/>
      <c r="B433" s="8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8"/>
      <c r="X433" s="8"/>
      <c r="Y433" s="8"/>
      <c r="Z433" s="8"/>
      <c r="AA433" s="8"/>
    </row>
    <row r="434" ht="15.75" customHeight="1">
      <c r="A434" s="8"/>
      <c r="B434" s="8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8"/>
      <c r="X434" s="8"/>
      <c r="Y434" s="8"/>
      <c r="Z434" s="8"/>
      <c r="AA434" s="8"/>
    </row>
    <row r="435" ht="15.75" customHeight="1">
      <c r="A435" s="8"/>
      <c r="B435" s="8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8"/>
      <c r="X435" s="8"/>
      <c r="Y435" s="8"/>
      <c r="Z435" s="8"/>
      <c r="AA435" s="8"/>
    </row>
    <row r="436" ht="15.75" customHeight="1">
      <c r="A436" s="8"/>
      <c r="B436" s="8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8"/>
      <c r="X436" s="8"/>
      <c r="Y436" s="8"/>
      <c r="Z436" s="8"/>
      <c r="AA436" s="8"/>
    </row>
    <row r="437" ht="15.75" customHeight="1">
      <c r="A437" s="8"/>
      <c r="B437" s="8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8"/>
      <c r="X437" s="8"/>
      <c r="Y437" s="8"/>
      <c r="Z437" s="8"/>
      <c r="AA437" s="8"/>
    </row>
    <row r="438" ht="15.75" customHeight="1">
      <c r="A438" s="8"/>
      <c r="B438" s="8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8"/>
      <c r="X438" s="8"/>
      <c r="Y438" s="8"/>
      <c r="Z438" s="8"/>
      <c r="AA438" s="8"/>
    </row>
    <row r="439" ht="15.75" customHeight="1">
      <c r="A439" s="8"/>
      <c r="B439" s="8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8"/>
      <c r="X439" s="8"/>
      <c r="Y439" s="8"/>
      <c r="Z439" s="8"/>
      <c r="AA439" s="8"/>
    </row>
    <row r="440" ht="15.75" customHeight="1">
      <c r="A440" s="8"/>
      <c r="B440" s="8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8"/>
      <c r="X440" s="8"/>
      <c r="Y440" s="8"/>
      <c r="Z440" s="8"/>
      <c r="AA440" s="8"/>
    </row>
    <row r="441" ht="15.75" customHeight="1">
      <c r="A441" s="8"/>
      <c r="B441" s="8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8"/>
      <c r="X441" s="8"/>
      <c r="Y441" s="8"/>
      <c r="Z441" s="8"/>
      <c r="AA441" s="8"/>
    </row>
    <row r="442" ht="15.75" customHeight="1">
      <c r="A442" s="8"/>
      <c r="B442" s="8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8"/>
      <c r="X442" s="8"/>
      <c r="Y442" s="8"/>
      <c r="Z442" s="8"/>
      <c r="AA442" s="8"/>
    </row>
    <row r="443" ht="15.75" customHeight="1">
      <c r="A443" s="8"/>
      <c r="B443" s="8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8"/>
      <c r="X443" s="8"/>
      <c r="Y443" s="8"/>
      <c r="Z443" s="8"/>
      <c r="AA443" s="8"/>
    </row>
    <row r="444" ht="15.75" customHeight="1">
      <c r="A444" s="8"/>
      <c r="B444" s="8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8"/>
      <c r="X444" s="8"/>
      <c r="Y444" s="8"/>
      <c r="Z444" s="8"/>
      <c r="AA444" s="8"/>
    </row>
    <row r="445" ht="15.75" customHeight="1">
      <c r="A445" s="8"/>
      <c r="B445" s="8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8"/>
      <c r="X445" s="8"/>
      <c r="Y445" s="8"/>
      <c r="Z445" s="8"/>
      <c r="AA445" s="8"/>
    </row>
    <row r="446" ht="15.75" customHeight="1">
      <c r="A446" s="8"/>
      <c r="B446" s="8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8"/>
      <c r="X446" s="8"/>
      <c r="Y446" s="8"/>
      <c r="Z446" s="8"/>
      <c r="AA446" s="8"/>
    </row>
    <row r="447" ht="15.75" customHeight="1">
      <c r="A447" s="8"/>
      <c r="B447" s="8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8"/>
      <c r="X447" s="8"/>
      <c r="Y447" s="8"/>
      <c r="Z447" s="8"/>
      <c r="AA447" s="8"/>
    </row>
    <row r="448" ht="15.75" customHeight="1">
      <c r="A448" s="8"/>
      <c r="B448" s="8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8"/>
      <c r="X448" s="8"/>
      <c r="Y448" s="8"/>
      <c r="Z448" s="8"/>
      <c r="AA448" s="8"/>
    </row>
    <row r="449" ht="15.75" customHeight="1">
      <c r="A449" s="8"/>
      <c r="B449" s="8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8"/>
      <c r="X449" s="8"/>
      <c r="Y449" s="8"/>
      <c r="Z449" s="8"/>
      <c r="AA449" s="8"/>
    </row>
    <row r="450" ht="15.75" customHeight="1">
      <c r="A450" s="8"/>
      <c r="B450" s="8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8"/>
      <c r="X450" s="8"/>
      <c r="Y450" s="8"/>
      <c r="Z450" s="8"/>
      <c r="AA450" s="8"/>
    </row>
    <row r="451" ht="15.75" customHeight="1">
      <c r="A451" s="8"/>
      <c r="B451" s="8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8"/>
      <c r="X451" s="8"/>
      <c r="Y451" s="8"/>
      <c r="Z451" s="8"/>
      <c r="AA451" s="8"/>
    </row>
    <row r="452" ht="15.75" customHeight="1">
      <c r="A452" s="8"/>
      <c r="B452" s="8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8"/>
      <c r="X452" s="8"/>
      <c r="Y452" s="8"/>
      <c r="Z452" s="8"/>
      <c r="AA452" s="8"/>
    </row>
    <row r="453" ht="15.75" customHeight="1">
      <c r="A453" s="8"/>
      <c r="B453" s="8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8"/>
      <c r="X453" s="8"/>
      <c r="Y453" s="8"/>
      <c r="Z453" s="8"/>
      <c r="AA453" s="8"/>
    </row>
    <row r="454" ht="15.75" customHeight="1">
      <c r="A454" s="8"/>
      <c r="B454" s="8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8"/>
      <c r="X454" s="8"/>
      <c r="Y454" s="8"/>
      <c r="Z454" s="8"/>
      <c r="AA454" s="8"/>
    </row>
    <row r="455" ht="15.75" customHeight="1">
      <c r="A455" s="8"/>
      <c r="B455" s="8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8"/>
      <c r="X455" s="8"/>
      <c r="Y455" s="8"/>
      <c r="Z455" s="8"/>
      <c r="AA455" s="8"/>
    </row>
    <row r="456" ht="15.75" customHeight="1">
      <c r="A456" s="8"/>
      <c r="B456" s="8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8"/>
      <c r="X456" s="8"/>
      <c r="Y456" s="8"/>
      <c r="Z456" s="8"/>
      <c r="AA456" s="8"/>
    </row>
    <row r="457" ht="15.75" customHeight="1">
      <c r="A457" s="8"/>
      <c r="B457" s="8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8"/>
      <c r="X457" s="8"/>
      <c r="Y457" s="8"/>
      <c r="Z457" s="8"/>
      <c r="AA457" s="8"/>
    </row>
    <row r="458" ht="15.75" customHeight="1">
      <c r="A458" s="8"/>
      <c r="B458" s="8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8"/>
      <c r="X458" s="8"/>
      <c r="Y458" s="8"/>
      <c r="Z458" s="8"/>
      <c r="AA458" s="8"/>
    </row>
    <row r="459" ht="15.75" customHeight="1">
      <c r="A459" s="8"/>
      <c r="B459" s="8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8"/>
      <c r="X459" s="8"/>
      <c r="Y459" s="8"/>
      <c r="Z459" s="8"/>
      <c r="AA459" s="8"/>
    </row>
    <row r="460" ht="15.75" customHeight="1">
      <c r="A460" s="8"/>
      <c r="B460" s="8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8"/>
      <c r="X460" s="8"/>
      <c r="Y460" s="8"/>
      <c r="Z460" s="8"/>
      <c r="AA460" s="8"/>
    </row>
    <row r="461" ht="15.75" customHeight="1">
      <c r="A461" s="8"/>
      <c r="B461" s="8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8"/>
      <c r="X461" s="8"/>
      <c r="Y461" s="8"/>
      <c r="Z461" s="8"/>
      <c r="AA461" s="8"/>
    </row>
    <row r="462" ht="15.75" customHeight="1">
      <c r="A462" s="8"/>
      <c r="B462" s="8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8"/>
      <c r="X462" s="8"/>
      <c r="Y462" s="8"/>
      <c r="Z462" s="8"/>
      <c r="AA462" s="8"/>
    </row>
    <row r="463" ht="15.75" customHeight="1">
      <c r="A463" s="8"/>
      <c r="B463" s="8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8"/>
      <c r="X463" s="8"/>
      <c r="Y463" s="8"/>
      <c r="Z463" s="8"/>
      <c r="AA463" s="8"/>
    </row>
    <row r="464" ht="15.75" customHeight="1">
      <c r="A464" s="8"/>
      <c r="B464" s="8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8"/>
      <c r="X464" s="8"/>
      <c r="Y464" s="8"/>
      <c r="Z464" s="8"/>
      <c r="AA464" s="8"/>
    </row>
    <row r="465" ht="15.75" customHeight="1">
      <c r="A465" s="8"/>
      <c r="B465" s="8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8"/>
      <c r="X465" s="8"/>
      <c r="Y465" s="8"/>
      <c r="Z465" s="8"/>
      <c r="AA465" s="8"/>
    </row>
    <row r="466" ht="15.75" customHeight="1">
      <c r="A466" s="8"/>
      <c r="B466" s="8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8"/>
      <c r="X466" s="8"/>
      <c r="Y466" s="8"/>
      <c r="Z466" s="8"/>
      <c r="AA466" s="8"/>
    </row>
    <row r="467" ht="15.75" customHeight="1">
      <c r="A467" s="8"/>
      <c r="B467" s="8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8"/>
      <c r="X467" s="8"/>
      <c r="Y467" s="8"/>
      <c r="Z467" s="8"/>
      <c r="AA467" s="8"/>
    </row>
    <row r="468" ht="15.75" customHeight="1">
      <c r="A468" s="8"/>
      <c r="B468" s="8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8"/>
      <c r="X468" s="8"/>
      <c r="Y468" s="8"/>
      <c r="Z468" s="8"/>
      <c r="AA468" s="8"/>
    </row>
    <row r="469" ht="15.75" customHeight="1">
      <c r="A469" s="8"/>
      <c r="B469" s="8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8"/>
      <c r="X469" s="8"/>
      <c r="Y469" s="8"/>
      <c r="Z469" s="8"/>
      <c r="AA469" s="8"/>
    </row>
    <row r="470" ht="15.75" customHeight="1">
      <c r="A470" s="8"/>
      <c r="B470" s="8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8"/>
      <c r="X470" s="8"/>
      <c r="Y470" s="8"/>
      <c r="Z470" s="8"/>
      <c r="AA470" s="8"/>
    </row>
    <row r="471" ht="15.75" customHeight="1">
      <c r="A471" s="8"/>
      <c r="B471" s="8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8"/>
      <c r="X471" s="8"/>
      <c r="Y471" s="8"/>
      <c r="Z471" s="8"/>
      <c r="AA471" s="8"/>
    </row>
    <row r="472" ht="15.75" customHeight="1">
      <c r="A472" s="8"/>
      <c r="B472" s="8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8"/>
      <c r="X472" s="8"/>
      <c r="Y472" s="8"/>
      <c r="Z472" s="8"/>
      <c r="AA472" s="8"/>
    </row>
    <row r="473" ht="15.75" customHeight="1">
      <c r="A473" s="8"/>
      <c r="B473" s="8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8"/>
      <c r="X473" s="8"/>
      <c r="Y473" s="8"/>
      <c r="Z473" s="8"/>
      <c r="AA473" s="8"/>
    </row>
    <row r="474" ht="15.75" customHeight="1">
      <c r="A474" s="8"/>
      <c r="B474" s="8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8"/>
      <c r="X474" s="8"/>
      <c r="Y474" s="8"/>
      <c r="Z474" s="8"/>
      <c r="AA474" s="8"/>
    </row>
    <row r="475" ht="15.75" customHeight="1">
      <c r="A475" s="8"/>
      <c r="B475" s="8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8"/>
      <c r="X475" s="8"/>
      <c r="Y475" s="8"/>
      <c r="Z475" s="8"/>
      <c r="AA475" s="8"/>
    </row>
    <row r="476" ht="15.75" customHeight="1">
      <c r="A476" s="8"/>
      <c r="B476" s="8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8"/>
      <c r="X476" s="8"/>
      <c r="Y476" s="8"/>
      <c r="Z476" s="8"/>
      <c r="AA476" s="8"/>
    </row>
    <row r="477" ht="15.75" customHeight="1">
      <c r="A477" s="8"/>
      <c r="B477" s="8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8"/>
      <c r="X477" s="8"/>
      <c r="Y477" s="8"/>
      <c r="Z477" s="8"/>
      <c r="AA477" s="8"/>
    </row>
    <row r="478" ht="15.75" customHeight="1">
      <c r="A478" s="8"/>
      <c r="B478" s="8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8"/>
      <c r="X478" s="8"/>
      <c r="Y478" s="8"/>
      <c r="Z478" s="8"/>
      <c r="AA478" s="8"/>
    </row>
    <row r="479" ht="15.75" customHeight="1">
      <c r="A479" s="8"/>
      <c r="B479" s="8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8"/>
      <c r="X479" s="8"/>
      <c r="Y479" s="8"/>
      <c r="Z479" s="8"/>
      <c r="AA479" s="8"/>
    </row>
    <row r="480" ht="15.75" customHeight="1">
      <c r="A480" s="8"/>
      <c r="B480" s="8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8"/>
      <c r="X480" s="8"/>
      <c r="Y480" s="8"/>
      <c r="Z480" s="8"/>
      <c r="AA480" s="8"/>
    </row>
    <row r="481" ht="15.75" customHeight="1">
      <c r="A481" s="8"/>
      <c r="B481" s="8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8"/>
      <c r="X481" s="8"/>
      <c r="Y481" s="8"/>
      <c r="Z481" s="8"/>
      <c r="AA481" s="8"/>
    </row>
    <row r="482" ht="15.75" customHeight="1">
      <c r="A482" s="8"/>
      <c r="B482" s="8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8"/>
      <c r="X482" s="8"/>
      <c r="Y482" s="8"/>
      <c r="Z482" s="8"/>
      <c r="AA482" s="8"/>
    </row>
    <row r="483" ht="15.75" customHeight="1">
      <c r="A483" s="8"/>
      <c r="B483" s="8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8"/>
      <c r="X483" s="8"/>
      <c r="Y483" s="8"/>
      <c r="Z483" s="8"/>
      <c r="AA483" s="8"/>
    </row>
    <row r="484" ht="15.75" customHeight="1">
      <c r="A484" s="8"/>
      <c r="B484" s="8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8"/>
      <c r="X484" s="8"/>
      <c r="Y484" s="8"/>
      <c r="Z484" s="8"/>
      <c r="AA484" s="8"/>
    </row>
    <row r="485" ht="15.75" customHeight="1">
      <c r="A485" s="8"/>
      <c r="B485" s="8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8"/>
      <c r="X485" s="8"/>
      <c r="Y485" s="8"/>
      <c r="Z485" s="8"/>
      <c r="AA485" s="8"/>
    </row>
    <row r="486" ht="15.75" customHeight="1">
      <c r="A486" s="8"/>
      <c r="B486" s="8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8"/>
      <c r="X486" s="8"/>
      <c r="Y486" s="8"/>
      <c r="Z486" s="8"/>
      <c r="AA486" s="8"/>
    </row>
    <row r="487" ht="15.75" customHeight="1">
      <c r="A487" s="8"/>
      <c r="B487" s="8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8"/>
      <c r="X487" s="8"/>
      <c r="Y487" s="8"/>
      <c r="Z487" s="8"/>
      <c r="AA487" s="8"/>
    </row>
    <row r="488" ht="15.75" customHeight="1">
      <c r="A488" s="8"/>
      <c r="B488" s="8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8"/>
      <c r="X488" s="8"/>
      <c r="Y488" s="8"/>
      <c r="Z488" s="8"/>
      <c r="AA488" s="8"/>
    </row>
    <row r="489" ht="15.75" customHeight="1">
      <c r="A489" s="8"/>
      <c r="B489" s="8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8"/>
      <c r="X489" s="8"/>
      <c r="Y489" s="8"/>
      <c r="Z489" s="8"/>
      <c r="AA489" s="8"/>
    </row>
    <row r="490" ht="15.75" customHeight="1">
      <c r="A490" s="8"/>
      <c r="B490" s="8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8"/>
      <c r="X490" s="8"/>
      <c r="Y490" s="8"/>
      <c r="Z490" s="8"/>
      <c r="AA490" s="8"/>
    </row>
    <row r="491" ht="15.75" customHeight="1">
      <c r="A491" s="8"/>
      <c r="B491" s="8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8"/>
      <c r="X491" s="8"/>
      <c r="Y491" s="8"/>
      <c r="Z491" s="8"/>
      <c r="AA491" s="8"/>
    </row>
    <row r="492" ht="15.75" customHeight="1">
      <c r="A492" s="8"/>
      <c r="B492" s="8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8"/>
      <c r="X492" s="8"/>
      <c r="Y492" s="8"/>
      <c r="Z492" s="8"/>
      <c r="AA492" s="8"/>
    </row>
    <row r="493" ht="15.75" customHeight="1">
      <c r="A493" s="8"/>
      <c r="B493" s="8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8"/>
      <c r="X493" s="8"/>
      <c r="Y493" s="8"/>
      <c r="Z493" s="8"/>
      <c r="AA493" s="8"/>
    </row>
    <row r="494" ht="15.75" customHeight="1">
      <c r="A494" s="8"/>
      <c r="B494" s="8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8"/>
      <c r="X494" s="8"/>
      <c r="Y494" s="8"/>
      <c r="Z494" s="8"/>
      <c r="AA494" s="8"/>
    </row>
    <row r="495" ht="15.75" customHeight="1">
      <c r="A495" s="8"/>
      <c r="B495" s="8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8"/>
      <c r="X495" s="8"/>
      <c r="Y495" s="8"/>
      <c r="Z495" s="8"/>
      <c r="AA495" s="8"/>
    </row>
    <row r="496" ht="15.75" customHeight="1">
      <c r="A496" s="8"/>
      <c r="B496" s="8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8"/>
      <c r="X496" s="8"/>
      <c r="Y496" s="8"/>
      <c r="Z496" s="8"/>
      <c r="AA496" s="8"/>
    </row>
    <row r="497" ht="15.75" customHeight="1">
      <c r="A497" s="8"/>
      <c r="B497" s="8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8"/>
      <c r="X497" s="8"/>
      <c r="Y497" s="8"/>
      <c r="Z497" s="8"/>
      <c r="AA497" s="8"/>
    </row>
    <row r="498" ht="15.75" customHeight="1">
      <c r="A498" s="8"/>
      <c r="B498" s="8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8"/>
      <c r="X498" s="8"/>
      <c r="Y498" s="8"/>
      <c r="Z498" s="8"/>
      <c r="AA498" s="8"/>
    </row>
    <row r="499" ht="15.75" customHeight="1">
      <c r="A499" s="8"/>
      <c r="B499" s="8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8"/>
      <c r="X499" s="8"/>
      <c r="Y499" s="8"/>
      <c r="Z499" s="8"/>
      <c r="AA499" s="8"/>
    </row>
    <row r="500" ht="15.75" customHeight="1">
      <c r="A500" s="8"/>
      <c r="B500" s="8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8"/>
      <c r="X500" s="8"/>
      <c r="Y500" s="8"/>
      <c r="Z500" s="8"/>
      <c r="AA500" s="8"/>
    </row>
    <row r="501" ht="15.75" customHeight="1">
      <c r="A501" s="8"/>
      <c r="B501" s="8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8"/>
      <c r="X501" s="8"/>
      <c r="Y501" s="8"/>
      <c r="Z501" s="8"/>
      <c r="AA501" s="8"/>
    </row>
    <row r="502" ht="15.75" customHeight="1">
      <c r="A502" s="8"/>
      <c r="B502" s="8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8"/>
      <c r="X502" s="8"/>
      <c r="Y502" s="8"/>
      <c r="Z502" s="8"/>
      <c r="AA502" s="8"/>
    </row>
    <row r="503" ht="15.75" customHeight="1">
      <c r="A503" s="8"/>
      <c r="B503" s="8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8"/>
      <c r="X503" s="8"/>
      <c r="Y503" s="8"/>
      <c r="Z503" s="8"/>
      <c r="AA503" s="8"/>
    </row>
    <row r="504" ht="15.75" customHeight="1">
      <c r="A504" s="8"/>
      <c r="B504" s="8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8"/>
      <c r="X504" s="8"/>
      <c r="Y504" s="8"/>
      <c r="Z504" s="8"/>
      <c r="AA504" s="8"/>
    </row>
    <row r="505" ht="15.75" customHeight="1">
      <c r="A505" s="8"/>
      <c r="B505" s="8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8"/>
      <c r="X505" s="8"/>
      <c r="Y505" s="8"/>
      <c r="Z505" s="8"/>
      <c r="AA505" s="8"/>
    </row>
    <row r="506" ht="15.75" customHeight="1">
      <c r="A506" s="8"/>
      <c r="B506" s="8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8"/>
      <c r="X506" s="8"/>
      <c r="Y506" s="8"/>
      <c r="Z506" s="8"/>
      <c r="AA506" s="8"/>
    </row>
    <row r="507" ht="15.75" customHeight="1">
      <c r="A507" s="8"/>
      <c r="B507" s="8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8"/>
      <c r="X507" s="8"/>
      <c r="Y507" s="8"/>
      <c r="Z507" s="8"/>
      <c r="AA507" s="8"/>
    </row>
    <row r="508" ht="15.75" customHeight="1">
      <c r="A508" s="8"/>
      <c r="B508" s="8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8"/>
      <c r="X508" s="8"/>
      <c r="Y508" s="8"/>
      <c r="Z508" s="8"/>
      <c r="AA508" s="8"/>
    </row>
    <row r="509" ht="15.75" customHeight="1">
      <c r="A509" s="8"/>
      <c r="B509" s="8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8"/>
      <c r="X509" s="8"/>
      <c r="Y509" s="8"/>
      <c r="Z509" s="8"/>
      <c r="AA509" s="8"/>
    </row>
    <row r="510" ht="15.75" customHeight="1">
      <c r="A510" s="8"/>
      <c r="B510" s="8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8"/>
      <c r="X510" s="8"/>
      <c r="Y510" s="8"/>
      <c r="Z510" s="8"/>
      <c r="AA510" s="8"/>
    </row>
    <row r="511" ht="15.75" customHeight="1">
      <c r="A511" s="8"/>
      <c r="B511" s="8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8"/>
      <c r="X511" s="8"/>
      <c r="Y511" s="8"/>
      <c r="Z511" s="8"/>
      <c r="AA511" s="8"/>
    </row>
    <row r="512" ht="15.75" customHeight="1">
      <c r="A512" s="8"/>
      <c r="B512" s="8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8"/>
      <c r="X512" s="8"/>
      <c r="Y512" s="8"/>
      <c r="Z512" s="8"/>
      <c r="AA512" s="8"/>
    </row>
    <row r="513" ht="15.75" customHeight="1">
      <c r="A513" s="8"/>
      <c r="B513" s="8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8"/>
      <c r="X513" s="8"/>
      <c r="Y513" s="8"/>
      <c r="Z513" s="8"/>
      <c r="AA513" s="8"/>
    </row>
    <row r="514" ht="15.75" customHeight="1">
      <c r="A514" s="8"/>
      <c r="B514" s="8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8"/>
      <c r="X514" s="8"/>
      <c r="Y514" s="8"/>
      <c r="Z514" s="8"/>
      <c r="AA514" s="8"/>
    </row>
    <row r="515" ht="15.75" customHeight="1">
      <c r="A515" s="8"/>
      <c r="B515" s="8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8"/>
      <c r="X515" s="8"/>
      <c r="Y515" s="8"/>
      <c r="Z515" s="8"/>
      <c r="AA515" s="8"/>
    </row>
    <row r="516" ht="15.75" customHeight="1">
      <c r="A516" s="8"/>
      <c r="B516" s="8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8"/>
      <c r="X516" s="8"/>
      <c r="Y516" s="8"/>
      <c r="Z516" s="8"/>
      <c r="AA516" s="8"/>
    </row>
    <row r="517" ht="15.75" customHeight="1">
      <c r="A517" s="8"/>
      <c r="B517" s="8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8"/>
      <c r="X517" s="8"/>
      <c r="Y517" s="8"/>
      <c r="Z517" s="8"/>
      <c r="AA517" s="8"/>
    </row>
    <row r="518" ht="15.75" customHeight="1">
      <c r="A518" s="8"/>
      <c r="B518" s="8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8"/>
      <c r="X518" s="8"/>
      <c r="Y518" s="8"/>
      <c r="Z518" s="8"/>
      <c r="AA518" s="8"/>
    </row>
    <row r="519" ht="15.75" customHeight="1">
      <c r="A519" s="8"/>
      <c r="B519" s="8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8"/>
      <c r="X519" s="8"/>
      <c r="Y519" s="8"/>
      <c r="Z519" s="8"/>
      <c r="AA519" s="8"/>
    </row>
    <row r="520" ht="15.75" customHeight="1">
      <c r="A520" s="8"/>
      <c r="B520" s="8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8"/>
      <c r="X520" s="8"/>
      <c r="Y520" s="8"/>
      <c r="Z520" s="8"/>
      <c r="AA520" s="8"/>
    </row>
    <row r="521" ht="15.75" customHeight="1">
      <c r="A521" s="8"/>
      <c r="B521" s="8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8"/>
      <c r="X521" s="8"/>
      <c r="Y521" s="8"/>
      <c r="Z521" s="8"/>
      <c r="AA521" s="8"/>
    </row>
    <row r="522" ht="15.75" customHeight="1">
      <c r="A522" s="8"/>
      <c r="B522" s="8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8"/>
      <c r="X522" s="8"/>
      <c r="Y522" s="8"/>
      <c r="Z522" s="8"/>
      <c r="AA522" s="8"/>
    </row>
    <row r="523" ht="15.75" customHeight="1">
      <c r="A523" s="8"/>
      <c r="B523" s="8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8"/>
      <c r="X523" s="8"/>
      <c r="Y523" s="8"/>
      <c r="Z523" s="8"/>
      <c r="AA523" s="8"/>
    </row>
    <row r="524" ht="15.75" customHeight="1">
      <c r="A524" s="8"/>
      <c r="B524" s="8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8"/>
      <c r="X524" s="8"/>
      <c r="Y524" s="8"/>
      <c r="Z524" s="8"/>
      <c r="AA524" s="8"/>
    </row>
    <row r="525" ht="15.75" customHeight="1">
      <c r="A525" s="8"/>
      <c r="B525" s="8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8"/>
      <c r="X525" s="8"/>
      <c r="Y525" s="8"/>
      <c r="Z525" s="8"/>
      <c r="AA525" s="8"/>
    </row>
    <row r="526" ht="15.75" customHeight="1">
      <c r="A526" s="8"/>
      <c r="B526" s="8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8"/>
      <c r="X526" s="8"/>
      <c r="Y526" s="8"/>
      <c r="Z526" s="8"/>
      <c r="AA526" s="8"/>
    </row>
    <row r="527" ht="15.75" customHeight="1">
      <c r="A527" s="8"/>
      <c r="B527" s="8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8"/>
      <c r="X527" s="8"/>
      <c r="Y527" s="8"/>
      <c r="Z527" s="8"/>
      <c r="AA527" s="8"/>
    </row>
    <row r="528" ht="15.75" customHeight="1">
      <c r="A528" s="8"/>
      <c r="B528" s="8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8"/>
      <c r="X528" s="8"/>
      <c r="Y528" s="8"/>
      <c r="Z528" s="8"/>
      <c r="AA528" s="8"/>
    </row>
    <row r="529" ht="15.75" customHeight="1">
      <c r="A529" s="8"/>
      <c r="B529" s="8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8"/>
      <c r="X529" s="8"/>
      <c r="Y529" s="8"/>
      <c r="Z529" s="8"/>
      <c r="AA529" s="8"/>
    </row>
    <row r="530" ht="15.75" customHeight="1">
      <c r="A530" s="8"/>
      <c r="B530" s="8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8"/>
      <c r="X530" s="8"/>
      <c r="Y530" s="8"/>
      <c r="Z530" s="8"/>
      <c r="AA530" s="8"/>
    </row>
    <row r="531" ht="15.75" customHeight="1">
      <c r="A531" s="8"/>
      <c r="B531" s="8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8"/>
      <c r="X531" s="8"/>
      <c r="Y531" s="8"/>
      <c r="Z531" s="8"/>
      <c r="AA531" s="8"/>
    </row>
    <row r="532" ht="15.75" customHeight="1">
      <c r="A532" s="8"/>
      <c r="B532" s="8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8"/>
      <c r="X532" s="8"/>
      <c r="Y532" s="8"/>
      <c r="Z532" s="8"/>
      <c r="AA532" s="8"/>
    </row>
    <row r="533" ht="15.75" customHeight="1">
      <c r="A533" s="8"/>
      <c r="B533" s="8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8"/>
      <c r="X533" s="8"/>
      <c r="Y533" s="8"/>
      <c r="Z533" s="8"/>
      <c r="AA533" s="8"/>
    </row>
    <row r="534" ht="15.75" customHeight="1">
      <c r="A534" s="8"/>
      <c r="B534" s="8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8"/>
      <c r="X534" s="8"/>
      <c r="Y534" s="8"/>
      <c r="Z534" s="8"/>
      <c r="AA534" s="8"/>
    </row>
    <row r="535" ht="15.75" customHeight="1">
      <c r="A535" s="8"/>
      <c r="B535" s="8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8"/>
      <c r="X535" s="8"/>
      <c r="Y535" s="8"/>
      <c r="Z535" s="8"/>
      <c r="AA535" s="8"/>
    </row>
    <row r="536" ht="15.75" customHeight="1">
      <c r="A536" s="8"/>
      <c r="B536" s="8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8"/>
      <c r="X536" s="8"/>
      <c r="Y536" s="8"/>
      <c r="Z536" s="8"/>
      <c r="AA536" s="8"/>
    </row>
    <row r="537" ht="15.75" customHeight="1">
      <c r="A537" s="8"/>
      <c r="B537" s="8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8"/>
      <c r="X537" s="8"/>
      <c r="Y537" s="8"/>
      <c r="Z537" s="8"/>
      <c r="AA537" s="8"/>
    </row>
    <row r="538" ht="15.75" customHeight="1">
      <c r="A538" s="8"/>
      <c r="B538" s="8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8"/>
      <c r="X538" s="8"/>
      <c r="Y538" s="8"/>
      <c r="Z538" s="8"/>
      <c r="AA538" s="8"/>
    </row>
    <row r="539" ht="15.75" customHeight="1">
      <c r="A539" s="8"/>
      <c r="B539" s="8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8"/>
      <c r="X539" s="8"/>
      <c r="Y539" s="8"/>
      <c r="Z539" s="8"/>
      <c r="AA539" s="8"/>
    </row>
    <row r="540" ht="15.75" customHeight="1">
      <c r="A540" s="8"/>
      <c r="B540" s="8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8"/>
      <c r="X540" s="8"/>
      <c r="Y540" s="8"/>
      <c r="Z540" s="8"/>
      <c r="AA540" s="8"/>
    </row>
    <row r="541" ht="15.75" customHeight="1">
      <c r="A541" s="8"/>
      <c r="B541" s="8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8"/>
      <c r="X541" s="8"/>
      <c r="Y541" s="8"/>
      <c r="Z541" s="8"/>
      <c r="AA541" s="8"/>
    </row>
    <row r="542" ht="15.75" customHeight="1">
      <c r="A542" s="8"/>
      <c r="B542" s="8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8"/>
      <c r="X542" s="8"/>
      <c r="Y542" s="8"/>
      <c r="Z542" s="8"/>
      <c r="AA542" s="8"/>
    </row>
    <row r="543" ht="15.75" customHeight="1">
      <c r="A543" s="8"/>
      <c r="B543" s="8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8"/>
      <c r="X543" s="8"/>
      <c r="Y543" s="8"/>
      <c r="Z543" s="8"/>
      <c r="AA543" s="8"/>
    </row>
    <row r="544" ht="15.75" customHeight="1">
      <c r="A544" s="8"/>
      <c r="B544" s="8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8"/>
      <c r="X544" s="8"/>
      <c r="Y544" s="8"/>
      <c r="Z544" s="8"/>
      <c r="AA544" s="8"/>
    </row>
    <row r="545" ht="15.75" customHeight="1">
      <c r="A545" s="8"/>
      <c r="B545" s="8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8"/>
      <c r="X545" s="8"/>
      <c r="Y545" s="8"/>
      <c r="Z545" s="8"/>
      <c r="AA545" s="8"/>
    </row>
    <row r="546" ht="15.75" customHeight="1">
      <c r="A546" s="8"/>
      <c r="B546" s="8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8"/>
      <c r="X546" s="8"/>
      <c r="Y546" s="8"/>
      <c r="Z546" s="8"/>
      <c r="AA546" s="8"/>
    </row>
    <row r="547" ht="15.75" customHeight="1">
      <c r="A547" s="8"/>
      <c r="B547" s="8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8"/>
      <c r="X547" s="8"/>
      <c r="Y547" s="8"/>
      <c r="Z547" s="8"/>
      <c r="AA547" s="8"/>
    </row>
    <row r="548" ht="15.75" customHeight="1">
      <c r="A548" s="8"/>
      <c r="B548" s="8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8"/>
      <c r="X548" s="8"/>
      <c r="Y548" s="8"/>
      <c r="Z548" s="8"/>
      <c r="AA548" s="8"/>
    </row>
    <row r="549" ht="15.75" customHeight="1">
      <c r="A549" s="8"/>
      <c r="B549" s="8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8"/>
      <c r="X549" s="8"/>
      <c r="Y549" s="8"/>
      <c r="Z549" s="8"/>
      <c r="AA549" s="8"/>
    </row>
    <row r="550" ht="15.75" customHeight="1">
      <c r="A550" s="8"/>
      <c r="B550" s="8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8"/>
      <c r="X550" s="8"/>
      <c r="Y550" s="8"/>
      <c r="Z550" s="8"/>
      <c r="AA550" s="8"/>
    </row>
    <row r="551" ht="15.75" customHeight="1">
      <c r="A551" s="8"/>
      <c r="B551" s="8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8"/>
      <c r="X551" s="8"/>
      <c r="Y551" s="8"/>
      <c r="Z551" s="8"/>
      <c r="AA551" s="8"/>
    </row>
    <row r="552" ht="15.75" customHeight="1">
      <c r="A552" s="8"/>
      <c r="B552" s="8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8"/>
      <c r="X552" s="8"/>
      <c r="Y552" s="8"/>
      <c r="Z552" s="8"/>
      <c r="AA552" s="8"/>
    </row>
    <row r="553" ht="15.75" customHeight="1">
      <c r="A553" s="8"/>
      <c r="B553" s="8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8"/>
      <c r="X553" s="8"/>
      <c r="Y553" s="8"/>
      <c r="Z553" s="8"/>
      <c r="AA553" s="8"/>
    </row>
    <row r="554" ht="15.75" customHeight="1">
      <c r="A554" s="8"/>
      <c r="B554" s="8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8"/>
      <c r="X554" s="8"/>
      <c r="Y554" s="8"/>
      <c r="Z554" s="8"/>
      <c r="AA554" s="8"/>
    </row>
    <row r="555" ht="15.75" customHeight="1">
      <c r="A555" s="8"/>
      <c r="B555" s="8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8"/>
      <c r="X555" s="8"/>
      <c r="Y555" s="8"/>
      <c r="Z555" s="8"/>
      <c r="AA555" s="8"/>
    </row>
    <row r="556" ht="15.75" customHeight="1">
      <c r="A556" s="8"/>
      <c r="B556" s="8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8"/>
      <c r="X556" s="8"/>
      <c r="Y556" s="8"/>
      <c r="Z556" s="8"/>
      <c r="AA556" s="8"/>
    </row>
    <row r="557" ht="15.75" customHeight="1">
      <c r="A557" s="8"/>
      <c r="B557" s="8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8"/>
      <c r="X557" s="8"/>
      <c r="Y557" s="8"/>
      <c r="Z557" s="8"/>
      <c r="AA557" s="8"/>
    </row>
    <row r="558" ht="15.75" customHeight="1">
      <c r="A558" s="8"/>
      <c r="B558" s="8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8"/>
      <c r="X558" s="8"/>
      <c r="Y558" s="8"/>
      <c r="Z558" s="8"/>
      <c r="AA558" s="8"/>
    </row>
    <row r="559" ht="15.75" customHeight="1">
      <c r="A559" s="8"/>
      <c r="B559" s="8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8"/>
      <c r="X559" s="8"/>
      <c r="Y559" s="8"/>
      <c r="Z559" s="8"/>
      <c r="AA559" s="8"/>
    </row>
    <row r="560" ht="15.75" customHeight="1">
      <c r="A560" s="8"/>
      <c r="B560" s="8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8"/>
      <c r="X560" s="8"/>
      <c r="Y560" s="8"/>
      <c r="Z560" s="8"/>
      <c r="AA560" s="8"/>
    </row>
    <row r="561" ht="15.75" customHeight="1">
      <c r="A561" s="8"/>
      <c r="B561" s="8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8"/>
      <c r="X561" s="8"/>
      <c r="Y561" s="8"/>
      <c r="Z561" s="8"/>
      <c r="AA561" s="8"/>
    </row>
    <row r="562" ht="15.75" customHeight="1">
      <c r="A562" s="8"/>
      <c r="B562" s="8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8"/>
      <c r="X562" s="8"/>
      <c r="Y562" s="8"/>
      <c r="Z562" s="8"/>
      <c r="AA562" s="8"/>
    </row>
    <row r="563" ht="15.75" customHeight="1">
      <c r="A563" s="8"/>
      <c r="B563" s="8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8"/>
      <c r="X563" s="8"/>
      <c r="Y563" s="8"/>
      <c r="Z563" s="8"/>
      <c r="AA563" s="8"/>
    </row>
    <row r="564" ht="15.75" customHeight="1">
      <c r="A564" s="8"/>
      <c r="B564" s="8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8"/>
      <c r="X564" s="8"/>
      <c r="Y564" s="8"/>
      <c r="Z564" s="8"/>
      <c r="AA564" s="8"/>
    </row>
    <row r="565" ht="15.75" customHeight="1">
      <c r="A565" s="8"/>
      <c r="B565" s="8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8"/>
      <c r="X565" s="8"/>
      <c r="Y565" s="8"/>
      <c r="Z565" s="8"/>
      <c r="AA565" s="8"/>
    </row>
    <row r="566" ht="15.75" customHeight="1">
      <c r="A566" s="8"/>
      <c r="B566" s="8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8"/>
      <c r="X566" s="8"/>
      <c r="Y566" s="8"/>
      <c r="Z566" s="8"/>
      <c r="AA566" s="8"/>
    </row>
    <row r="567" ht="15.75" customHeight="1">
      <c r="A567" s="8"/>
      <c r="B567" s="8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8"/>
      <c r="X567" s="8"/>
      <c r="Y567" s="8"/>
      <c r="Z567" s="8"/>
      <c r="AA567" s="8"/>
    </row>
    <row r="568" ht="15.75" customHeight="1">
      <c r="A568" s="8"/>
      <c r="B568" s="8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8"/>
      <c r="X568" s="8"/>
      <c r="Y568" s="8"/>
      <c r="Z568" s="8"/>
      <c r="AA568" s="8"/>
    </row>
    <row r="569" ht="15.75" customHeight="1">
      <c r="A569" s="8"/>
      <c r="B569" s="8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8"/>
      <c r="X569" s="8"/>
      <c r="Y569" s="8"/>
      <c r="Z569" s="8"/>
      <c r="AA569" s="8"/>
    </row>
    <row r="570" ht="15.75" customHeight="1">
      <c r="A570" s="8"/>
      <c r="B570" s="8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8"/>
      <c r="X570" s="8"/>
      <c r="Y570" s="8"/>
      <c r="Z570" s="8"/>
      <c r="AA570" s="8"/>
    </row>
    <row r="571" ht="15.75" customHeight="1">
      <c r="A571" s="8"/>
      <c r="B571" s="8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8"/>
      <c r="X571" s="8"/>
      <c r="Y571" s="8"/>
      <c r="Z571" s="8"/>
      <c r="AA571" s="8"/>
    </row>
    <row r="572" ht="15.75" customHeight="1">
      <c r="A572" s="8"/>
      <c r="B572" s="8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8"/>
      <c r="X572" s="8"/>
      <c r="Y572" s="8"/>
      <c r="Z572" s="8"/>
      <c r="AA572" s="8"/>
    </row>
    <row r="573" ht="15.75" customHeight="1">
      <c r="A573" s="8"/>
      <c r="B573" s="8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8"/>
      <c r="X573" s="8"/>
      <c r="Y573" s="8"/>
      <c r="Z573" s="8"/>
      <c r="AA573" s="8"/>
    </row>
    <row r="574" ht="15.75" customHeight="1">
      <c r="A574" s="8"/>
      <c r="B574" s="8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8"/>
      <c r="X574" s="8"/>
      <c r="Y574" s="8"/>
      <c r="Z574" s="8"/>
      <c r="AA574" s="8"/>
    </row>
    <row r="575" ht="15.75" customHeight="1">
      <c r="A575" s="8"/>
      <c r="B575" s="8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8"/>
      <c r="X575" s="8"/>
      <c r="Y575" s="8"/>
      <c r="Z575" s="8"/>
      <c r="AA575" s="8"/>
    </row>
    <row r="576" ht="15.75" customHeight="1">
      <c r="A576" s="8"/>
      <c r="B576" s="8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8"/>
      <c r="X576" s="8"/>
      <c r="Y576" s="8"/>
      <c r="Z576" s="8"/>
      <c r="AA576" s="8"/>
    </row>
    <row r="577" ht="15.75" customHeight="1">
      <c r="A577" s="8"/>
      <c r="B577" s="8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8"/>
      <c r="X577" s="8"/>
      <c r="Y577" s="8"/>
      <c r="Z577" s="8"/>
      <c r="AA577" s="8"/>
    </row>
    <row r="578" ht="15.75" customHeight="1">
      <c r="A578" s="8"/>
      <c r="B578" s="8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8"/>
      <c r="X578" s="8"/>
      <c r="Y578" s="8"/>
      <c r="Z578" s="8"/>
      <c r="AA578" s="8"/>
    </row>
    <row r="579" ht="15.75" customHeight="1">
      <c r="A579" s="8"/>
      <c r="B579" s="8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8"/>
      <c r="X579" s="8"/>
      <c r="Y579" s="8"/>
      <c r="Z579" s="8"/>
      <c r="AA579" s="8"/>
    </row>
    <row r="580" ht="15.75" customHeight="1">
      <c r="A580" s="8"/>
      <c r="B580" s="8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8"/>
      <c r="X580" s="8"/>
      <c r="Y580" s="8"/>
      <c r="Z580" s="8"/>
      <c r="AA580" s="8"/>
    </row>
    <row r="581" ht="15.75" customHeight="1">
      <c r="A581" s="8"/>
      <c r="B581" s="8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8"/>
      <c r="X581" s="8"/>
      <c r="Y581" s="8"/>
      <c r="Z581" s="8"/>
      <c r="AA581" s="8"/>
    </row>
    <row r="582" ht="15.75" customHeight="1">
      <c r="A582" s="8"/>
      <c r="B582" s="8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8"/>
      <c r="X582" s="8"/>
      <c r="Y582" s="8"/>
      <c r="Z582" s="8"/>
      <c r="AA582" s="8"/>
    </row>
    <row r="583" ht="15.75" customHeight="1">
      <c r="A583" s="8"/>
      <c r="B583" s="8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8"/>
      <c r="X583" s="8"/>
      <c r="Y583" s="8"/>
      <c r="Z583" s="8"/>
      <c r="AA583" s="8"/>
    </row>
    <row r="584" ht="15.75" customHeight="1">
      <c r="A584" s="8"/>
      <c r="B584" s="8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8"/>
      <c r="X584" s="8"/>
      <c r="Y584" s="8"/>
      <c r="Z584" s="8"/>
      <c r="AA584" s="8"/>
    </row>
    <row r="585" ht="15.75" customHeight="1">
      <c r="A585" s="8"/>
      <c r="B585" s="8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8"/>
      <c r="X585" s="8"/>
      <c r="Y585" s="8"/>
      <c r="Z585" s="8"/>
      <c r="AA585" s="8"/>
    </row>
    <row r="586" ht="15.75" customHeight="1">
      <c r="A586" s="8"/>
      <c r="B586" s="8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8"/>
      <c r="X586" s="8"/>
      <c r="Y586" s="8"/>
      <c r="Z586" s="8"/>
      <c r="AA586" s="8"/>
    </row>
    <row r="587" ht="15.75" customHeight="1">
      <c r="A587" s="8"/>
      <c r="B587" s="8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8"/>
      <c r="X587" s="8"/>
      <c r="Y587" s="8"/>
      <c r="Z587" s="8"/>
      <c r="AA587" s="8"/>
    </row>
    <row r="588" ht="15.75" customHeight="1">
      <c r="A588" s="8"/>
      <c r="B588" s="8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8"/>
      <c r="X588" s="8"/>
      <c r="Y588" s="8"/>
      <c r="Z588" s="8"/>
      <c r="AA588" s="8"/>
    </row>
    <row r="589" ht="15.75" customHeight="1">
      <c r="A589" s="8"/>
      <c r="B589" s="8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8"/>
      <c r="X589" s="8"/>
      <c r="Y589" s="8"/>
      <c r="Z589" s="8"/>
      <c r="AA589" s="8"/>
    </row>
    <row r="590" ht="15.75" customHeight="1">
      <c r="A590" s="8"/>
      <c r="B590" s="8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8"/>
      <c r="X590" s="8"/>
      <c r="Y590" s="8"/>
      <c r="Z590" s="8"/>
      <c r="AA590" s="8"/>
    </row>
    <row r="591" ht="15.75" customHeight="1">
      <c r="A591" s="8"/>
      <c r="B591" s="8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8"/>
      <c r="X591" s="8"/>
      <c r="Y591" s="8"/>
      <c r="Z591" s="8"/>
      <c r="AA591" s="8"/>
    </row>
    <row r="592" ht="15.75" customHeight="1">
      <c r="A592" s="8"/>
      <c r="B592" s="8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8"/>
      <c r="X592" s="8"/>
      <c r="Y592" s="8"/>
      <c r="Z592" s="8"/>
      <c r="AA592" s="8"/>
    </row>
    <row r="593" ht="15.75" customHeight="1">
      <c r="A593" s="8"/>
      <c r="B593" s="8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8"/>
      <c r="X593" s="8"/>
      <c r="Y593" s="8"/>
      <c r="Z593" s="8"/>
      <c r="AA593" s="8"/>
    </row>
    <row r="594" ht="15.75" customHeight="1">
      <c r="A594" s="8"/>
      <c r="B594" s="8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8"/>
      <c r="X594" s="8"/>
      <c r="Y594" s="8"/>
      <c r="Z594" s="8"/>
      <c r="AA594" s="8"/>
    </row>
    <row r="595" ht="15.75" customHeight="1">
      <c r="A595" s="8"/>
      <c r="B595" s="8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8"/>
      <c r="X595" s="8"/>
      <c r="Y595" s="8"/>
      <c r="Z595" s="8"/>
      <c r="AA595" s="8"/>
    </row>
    <row r="596" ht="15.75" customHeight="1">
      <c r="A596" s="8"/>
      <c r="B596" s="8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8"/>
      <c r="X596" s="8"/>
      <c r="Y596" s="8"/>
      <c r="Z596" s="8"/>
      <c r="AA596" s="8"/>
    </row>
    <row r="597" ht="15.75" customHeight="1">
      <c r="A597" s="8"/>
      <c r="B597" s="8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8"/>
      <c r="X597" s="8"/>
      <c r="Y597" s="8"/>
      <c r="Z597" s="8"/>
      <c r="AA597" s="8"/>
    </row>
    <row r="598" ht="15.75" customHeight="1">
      <c r="A598" s="8"/>
      <c r="B598" s="8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8"/>
      <c r="X598" s="8"/>
      <c r="Y598" s="8"/>
      <c r="Z598" s="8"/>
      <c r="AA598" s="8"/>
    </row>
    <row r="599" ht="15.75" customHeight="1">
      <c r="A599" s="8"/>
      <c r="B599" s="8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8"/>
      <c r="X599" s="8"/>
      <c r="Y599" s="8"/>
      <c r="Z599" s="8"/>
      <c r="AA599" s="8"/>
    </row>
    <row r="600" ht="15.75" customHeight="1">
      <c r="A600" s="8"/>
      <c r="B600" s="8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8"/>
      <c r="X600" s="8"/>
      <c r="Y600" s="8"/>
      <c r="Z600" s="8"/>
      <c r="AA600" s="8"/>
    </row>
    <row r="601" ht="15.75" customHeight="1">
      <c r="A601" s="8"/>
      <c r="B601" s="8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8"/>
      <c r="X601" s="8"/>
      <c r="Y601" s="8"/>
      <c r="Z601" s="8"/>
      <c r="AA601" s="8"/>
    </row>
    <row r="602" ht="15.75" customHeight="1">
      <c r="A602" s="8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8"/>
      <c r="X602" s="8"/>
      <c r="Y602" s="8"/>
      <c r="Z602" s="8"/>
      <c r="AA602" s="8"/>
    </row>
    <row r="603" ht="15.75" customHeight="1">
      <c r="A603" s="8"/>
      <c r="B603" s="8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8"/>
      <c r="X603" s="8"/>
      <c r="Y603" s="8"/>
      <c r="Z603" s="8"/>
      <c r="AA603" s="8"/>
    </row>
    <row r="604" ht="15.75" customHeight="1">
      <c r="A604" s="8"/>
      <c r="B604" s="8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8"/>
      <c r="X604" s="8"/>
      <c r="Y604" s="8"/>
      <c r="Z604" s="8"/>
      <c r="AA604" s="8"/>
    </row>
    <row r="605" ht="15.75" customHeight="1">
      <c r="A605" s="8"/>
      <c r="B605" s="8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8"/>
      <c r="X605" s="8"/>
      <c r="Y605" s="8"/>
      <c r="Z605" s="8"/>
      <c r="AA605" s="8"/>
    </row>
    <row r="606" ht="15.75" customHeight="1">
      <c r="A606" s="8"/>
      <c r="B606" s="8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8"/>
      <c r="X606" s="8"/>
      <c r="Y606" s="8"/>
      <c r="Z606" s="8"/>
      <c r="AA606" s="8"/>
    </row>
    <row r="607" ht="15.75" customHeight="1">
      <c r="A607" s="8"/>
      <c r="B607" s="8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8"/>
      <c r="X607" s="8"/>
      <c r="Y607" s="8"/>
      <c r="Z607" s="8"/>
      <c r="AA607" s="8"/>
    </row>
    <row r="608" ht="15.75" customHeight="1">
      <c r="A608" s="8"/>
      <c r="B608" s="8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8"/>
      <c r="X608" s="8"/>
      <c r="Y608" s="8"/>
      <c r="Z608" s="8"/>
      <c r="AA608" s="8"/>
    </row>
    <row r="609" ht="15.75" customHeight="1">
      <c r="A609" s="8"/>
      <c r="B609" s="8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8"/>
      <c r="X609" s="8"/>
      <c r="Y609" s="8"/>
      <c r="Z609" s="8"/>
      <c r="AA609" s="8"/>
    </row>
    <row r="610" ht="15.75" customHeight="1">
      <c r="A610" s="8"/>
      <c r="B610" s="8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8"/>
      <c r="X610" s="8"/>
      <c r="Y610" s="8"/>
      <c r="Z610" s="8"/>
      <c r="AA610" s="8"/>
    </row>
    <row r="611" ht="15.75" customHeight="1">
      <c r="A611" s="8"/>
      <c r="B611" s="8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8"/>
      <c r="X611" s="8"/>
      <c r="Y611" s="8"/>
      <c r="Z611" s="8"/>
      <c r="AA611" s="8"/>
    </row>
    <row r="612" ht="15.75" customHeight="1">
      <c r="A612" s="8"/>
      <c r="B612" s="8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8"/>
      <c r="X612" s="8"/>
      <c r="Y612" s="8"/>
      <c r="Z612" s="8"/>
      <c r="AA612" s="8"/>
    </row>
    <row r="613" ht="15.75" customHeight="1">
      <c r="A613" s="8"/>
      <c r="B613" s="8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8"/>
      <c r="X613" s="8"/>
      <c r="Y613" s="8"/>
      <c r="Z613" s="8"/>
      <c r="AA613" s="8"/>
    </row>
    <row r="614" ht="15.75" customHeight="1">
      <c r="A614" s="8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8"/>
      <c r="X614" s="8"/>
      <c r="Y614" s="8"/>
      <c r="Z614" s="8"/>
      <c r="AA614" s="8"/>
    </row>
    <row r="615" ht="15.75" customHeight="1">
      <c r="A615" s="8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8"/>
      <c r="X615" s="8"/>
      <c r="Y615" s="8"/>
      <c r="Z615" s="8"/>
      <c r="AA615" s="8"/>
    </row>
    <row r="616" ht="15.75" customHeight="1">
      <c r="A616" s="8"/>
      <c r="B616" s="8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8"/>
      <c r="X616" s="8"/>
      <c r="Y616" s="8"/>
      <c r="Z616" s="8"/>
      <c r="AA616" s="8"/>
    </row>
    <row r="617" ht="15.75" customHeight="1">
      <c r="A617" s="8"/>
      <c r="B617" s="8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8"/>
      <c r="X617" s="8"/>
      <c r="Y617" s="8"/>
      <c r="Z617" s="8"/>
      <c r="AA617" s="8"/>
    </row>
    <row r="618" ht="15.75" customHeight="1">
      <c r="A618" s="8"/>
      <c r="B618" s="8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8"/>
      <c r="X618" s="8"/>
      <c r="Y618" s="8"/>
      <c r="Z618" s="8"/>
      <c r="AA618" s="8"/>
    </row>
    <row r="619" ht="15.75" customHeight="1">
      <c r="A619" s="8"/>
      <c r="B619" s="8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8"/>
      <c r="X619" s="8"/>
      <c r="Y619" s="8"/>
      <c r="Z619" s="8"/>
      <c r="AA619" s="8"/>
    </row>
    <row r="620" ht="15.75" customHeight="1">
      <c r="A620" s="8"/>
      <c r="B620" s="8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8"/>
      <c r="X620" s="8"/>
      <c r="Y620" s="8"/>
      <c r="Z620" s="8"/>
      <c r="AA620" s="8"/>
    </row>
    <row r="621" ht="15.75" customHeight="1">
      <c r="A621" s="8"/>
      <c r="B621" s="8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8"/>
      <c r="X621" s="8"/>
      <c r="Y621" s="8"/>
      <c r="Z621" s="8"/>
      <c r="AA621" s="8"/>
    </row>
    <row r="622" ht="15.75" customHeight="1">
      <c r="A622" s="8"/>
      <c r="B622" s="8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8"/>
      <c r="X622" s="8"/>
      <c r="Y622" s="8"/>
      <c r="Z622" s="8"/>
      <c r="AA622" s="8"/>
    </row>
    <row r="623" ht="15.75" customHeight="1">
      <c r="A623" s="8"/>
      <c r="B623" s="8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8"/>
      <c r="X623" s="8"/>
      <c r="Y623" s="8"/>
      <c r="Z623" s="8"/>
      <c r="AA623" s="8"/>
    </row>
    <row r="624" ht="15.75" customHeight="1">
      <c r="A624" s="8"/>
      <c r="B624" s="8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8"/>
      <c r="X624" s="8"/>
      <c r="Y624" s="8"/>
      <c r="Z624" s="8"/>
      <c r="AA624" s="8"/>
    </row>
    <row r="625" ht="15.75" customHeight="1">
      <c r="A625" s="8"/>
      <c r="B625" s="8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8"/>
      <c r="X625" s="8"/>
      <c r="Y625" s="8"/>
      <c r="Z625" s="8"/>
      <c r="AA625" s="8"/>
    </row>
    <row r="626" ht="15.75" customHeight="1">
      <c r="A626" s="8"/>
      <c r="B626" s="8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8"/>
      <c r="X626" s="8"/>
      <c r="Y626" s="8"/>
      <c r="Z626" s="8"/>
      <c r="AA626" s="8"/>
    </row>
    <row r="627" ht="15.75" customHeight="1">
      <c r="A627" s="8"/>
      <c r="B627" s="8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8"/>
      <c r="X627" s="8"/>
      <c r="Y627" s="8"/>
      <c r="Z627" s="8"/>
      <c r="AA627" s="8"/>
    </row>
    <row r="628" ht="15.75" customHeight="1">
      <c r="A628" s="8"/>
      <c r="B628" s="8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8"/>
      <c r="X628" s="8"/>
      <c r="Y628" s="8"/>
      <c r="Z628" s="8"/>
      <c r="AA628" s="8"/>
    </row>
    <row r="629" ht="15.75" customHeight="1">
      <c r="A629" s="8"/>
      <c r="B629" s="8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8"/>
      <c r="X629" s="8"/>
      <c r="Y629" s="8"/>
      <c r="Z629" s="8"/>
      <c r="AA629" s="8"/>
    </row>
    <row r="630" ht="15.75" customHeight="1">
      <c r="A630" s="8"/>
      <c r="B630" s="8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8"/>
      <c r="X630" s="8"/>
      <c r="Y630" s="8"/>
      <c r="Z630" s="8"/>
      <c r="AA630" s="8"/>
    </row>
    <row r="631" ht="15.75" customHeight="1">
      <c r="A631" s="8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8"/>
      <c r="X631" s="8"/>
      <c r="Y631" s="8"/>
      <c r="Z631" s="8"/>
      <c r="AA631" s="8"/>
    </row>
    <row r="632" ht="15.75" customHeight="1">
      <c r="A632" s="8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8"/>
      <c r="X632" s="8"/>
      <c r="Y632" s="8"/>
      <c r="Z632" s="8"/>
      <c r="AA632" s="8"/>
    </row>
    <row r="633" ht="15.75" customHeight="1">
      <c r="A633" s="8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8"/>
      <c r="X633" s="8"/>
      <c r="Y633" s="8"/>
      <c r="Z633" s="8"/>
      <c r="AA633" s="8"/>
    </row>
    <row r="634" ht="15.75" customHeight="1">
      <c r="A634" s="8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8"/>
      <c r="X634" s="8"/>
      <c r="Y634" s="8"/>
      <c r="Z634" s="8"/>
      <c r="AA634" s="8"/>
    </row>
    <row r="635" ht="15.75" customHeight="1">
      <c r="A635" s="8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8"/>
      <c r="X635" s="8"/>
      <c r="Y635" s="8"/>
      <c r="Z635" s="8"/>
      <c r="AA635" s="8"/>
    </row>
    <row r="636" ht="15.75" customHeight="1">
      <c r="A636" s="8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8"/>
      <c r="X636" s="8"/>
      <c r="Y636" s="8"/>
      <c r="Z636" s="8"/>
      <c r="AA636" s="8"/>
    </row>
    <row r="637" ht="15.75" customHeight="1">
      <c r="A637" s="8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8"/>
      <c r="X637" s="8"/>
      <c r="Y637" s="8"/>
      <c r="Z637" s="8"/>
      <c r="AA637" s="8"/>
    </row>
    <row r="638" ht="15.75" customHeight="1">
      <c r="A638" s="8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8"/>
      <c r="X638" s="8"/>
      <c r="Y638" s="8"/>
      <c r="Z638" s="8"/>
      <c r="AA638" s="8"/>
    </row>
    <row r="639" ht="15.75" customHeight="1">
      <c r="A639" s="8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8"/>
      <c r="X639" s="8"/>
      <c r="Y639" s="8"/>
      <c r="Z639" s="8"/>
      <c r="AA639" s="8"/>
    </row>
    <row r="640" ht="15.75" customHeight="1">
      <c r="A640" s="8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8"/>
      <c r="X640" s="8"/>
      <c r="Y640" s="8"/>
      <c r="Z640" s="8"/>
      <c r="AA640" s="8"/>
    </row>
    <row r="641" ht="15.75" customHeight="1">
      <c r="A641" s="8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8"/>
      <c r="X641" s="8"/>
      <c r="Y641" s="8"/>
      <c r="Z641" s="8"/>
      <c r="AA641" s="8"/>
    </row>
    <row r="642" ht="15.75" customHeight="1">
      <c r="A642" s="8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8"/>
      <c r="X642" s="8"/>
      <c r="Y642" s="8"/>
      <c r="Z642" s="8"/>
      <c r="AA642" s="8"/>
    </row>
    <row r="643" ht="15.75" customHeight="1">
      <c r="A643" s="8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8"/>
      <c r="X643" s="8"/>
      <c r="Y643" s="8"/>
      <c r="Z643" s="8"/>
      <c r="AA643" s="8"/>
    </row>
    <row r="644" ht="15.75" customHeight="1">
      <c r="A644" s="8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8"/>
      <c r="X644" s="8"/>
      <c r="Y644" s="8"/>
      <c r="Z644" s="8"/>
      <c r="AA644" s="8"/>
    </row>
    <row r="645" ht="15.75" customHeight="1">
      <c r="A645" s="8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8"/>
      <c r="X645" s="8"/>
      <c r="Y645" s="8"/>
      <c r="Z645" s="8"/>
      <c r="AA645" s="8"/>
    </row>
    <row r="646" ht="15.75" customHeight="1">
      <c r="A646" s="8"/>
      <c r="B646" s="8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8"/>
      <c r="X646" s="8"/>
      <c r="Y646" s="8"/>
      <c r="Z646" s="8"/>
      <c r="AA646" s="8"/>
    </row>
    <row r="647" ht="15.75" customHeight="1">
      <c r="A647" s="8"/>
      <c r="B647" s="8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8"/>
      <c r="X647" s="8"/>
      <c r="Y647" s="8"/>
      <c r="Z647" s="8"/>
      <c r="AA647" s="8"/>
    </row>
    <row r="648" ht="15.75" customHeight="1">
      <c r="A648" s="8"/>
      <c r="B648" s="8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8"/>
      <c r="X648" s="8"/>
      <c r="Y648" s="8"/>
      <c r="Z648" s="8"/>
      <c r="AA648" s="8"/>
    </row>
    <row r="649" ht="15.75" customHeight="1">
      <c r="A649" s="8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8"/>
      <c r="X649" s="8"/>
      <c r="Y649" s="8"/>
      <c r="Z649" s="8"/>
      <c r="AA649" s="8"/>
    </row>
    <row r="650" ht="15.75" customHeight="1">
      <c r="A650" s="8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8"/>
      <c r="X650" s="8"/>
      <c r="Y650" s="8"/>
      <c r="Z650" s="8"/>
      <c r="AA650" s="8"/>
    </row>
    <row r="651" ht="15.75" customHeight="1">
      <c r="A651" s="8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8"/>
      <c r="X651" s="8"/>
      <c r="Y651" s="8"/>
      <c r="Z651" s="8"/>
      <c r="AA651" s="8"/>
    </row>
    <row r="652" ht="15.75" customHeight="1">
      <c r="A652" s="8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8"/>
      <c r="X652" s="8"/>
      <c r="Y652" s="8"/>
      <c r="Z652" s="8"/>
      <c r="AA652" s="8"/>
    </row>
    <row r="653" ht="15.75" customHeight="1">
      <c r="A653" s="8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8"/>
      <c r="X653" s="8"/>
      <c r="Y653" s="8"/>
      <c r="Z653" s="8"/>
      <c r="AA653" s="8"/>
    </row>
    <row r="654" ht="15.75" customHeight="1">
      <c r="A654" s="8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8"/>
      <c r="X654" s="8"/>
      <c r="Y654" s="8"/>
      <c r="Z654" s="8"/>
      <c r="AA654" s="8"/>
    </row>
    <row r="655" ht="15.75" customHeight="1">
      <c r="A655" s="8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8"/>
      <c r="X655" s="8"/>
      <c r="Y655" s="8"/>
      <c r="Z655" s="8"/>
      <c r="AA655" s="8"/>
    </row>
    <row r="656" ht="15.75" customHeight="1">
      <c r="A656" s="8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8"/>
      <c r="X656" s="8"/>
      <c r="Y656" s="8"/>
      <c r="Z656" s="8"/>
      <c r="AA656" s="8"/>
    </row>
    <row r="657" ht="15.75" customHeight="1">
      <c r="A657" s="8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8"/>
      <c r="X657" s="8"/>
      <c r="Y657" s="8"/>
      <c r="Z657" s="8"/>
      <c r="AA657" s="8"/>
    </row>
    <row r="658" ht="15.75" customHeight="1">
      <c r="A658" s="8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8"/>
      <c r="X658" s="8"/>
      <c r="Y658" s="8"/>
      <c r="Z658" s="8"/>
      <c r="AA658" s="8"/>
    </row>
    <row r="659" ht="15.75" customHeight="1">
      <c r="A659" s="8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8"/>
      <c r="X659" s="8"/>
      <c r="Y659" s="8"/>
      <c r="Z659" s="8"/>
      <c r="AA659" s="8"/>
    </row>
    <row r="660" ht="15.75" customHeight="1">
      <c r="A660" s="8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8"/>
      <c r="X660" s="8"/>
      <c r="Y660" s="8"/>
      <c r="Z660" s="8"/>
      <c r="AA660" s="8"/>
    </row>
    <row r="661" ht="15.75" customHeight="1">
      <c r="A661" s="8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8"/>
      <c r="X661" s="8"/>
      <c r="Y661" s="8"/>
      <c r="Z661" s="8"/>
      <c r="AA661" s="8"/>
    </row>
    <row r="662" ht="15.75" customHeight="1">
      <c r="A662" s="8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8"/>
      <c r="X662" s="8"/>
      <c r="Y662" s="8"/>
      <c r="Z662" s="8"/>
      <c r="AA662" s="8"/>
    </row>
    <row r="663" ht="15.75" customHeight="1">
      <c r="A663" s="8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8"/>
      <c r="X663" s="8"/>
      <c r="Y663" s="8"/>
      <c r="Z663" s="8"/>
      <c r="AA663" s="8"/>
    </row>
    <row r="664" ht="15.75" customHeight="1">
      <c r="A664" s="8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8"/>
      <c r="X664" s="8"/>
      <c r="Y664" s="8"/>
      <c r="Z664" s="8"/>
      <c r="AA664" s="8"/>
    </row>
    <row r="665" ht="15.75" customHeight="1">
      <c r="A665" s="8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8"/>
      <c r="X665" s="8"/>
      <c r="Y665" s="8"/>
      <c r="Z665" s="8"/>
      <c r="AA665" s="8"/>
    </row>
    <row r="666" ht="15.75" customHeight="1">
      <c r="A666" s="8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8"/>
      <c r="X666" s="8"/>
      <c r="Y666" s="8"/>
      <c r="Z666" s="8"/>
      <c r="AA666" s="8"/>
    </row>
    <row r="667" ht="15.75" customHeight="1">
      <c r="A667" s="8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8"/>
      <c r="X667" s="8"/>
      <c r="Y667" s="8"/>
      <c r="Z667" s="8"/>
      <c r="AA667" s="8"/>
    </row>
    <row r="668" ht="15.75" customHeight="1">
      <c r="A668" s="8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8"/>
      <c r="X668" s="8"/>
      <c r="Y668" s="8"/>
      <c r="Z668" s="8"/>
      <c r="AA668" s="8"/>
    </row>
    <row r="669" ht="15.75" customHeight="1">
      <c r="A669" s="8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8"/>
      <c r="X669" s="8"/>
      <c r="Y669" s="8"/>
      <c r="Z669" s="8"/>
      <c r="AA669" s="8"/>
    </row>
    <row r="670" ht="15.75" customHeight="1">
      <c r="A670" s="8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8"/>
      <c r="X670" s="8"/>
      <c r="Y670" s="8"/>
      <c r="Z670" s="8"/>
      <c r="AA670" s="8"/>
    </row>
    <row r="671" ht="15.75" customHeight="1">
      <c r="A671" s="8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8"/>
      <c r="X671" s="8"/>
      <c r="Y671" s="8"/>
      <c r="Z671" s="8"/>
      <c r="AA671" s="8"/>
    </row>
    <row r="672" ht="15.75" customHeight="1">
      <c r="A672" s="8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8"/>
      <c r="X672" s="8"/>
      <c r="Y672" s="8"/>
      <c r="Z672" s="8"/>
      <c r="AA672" s="8"/>
    </row>
    <row r="673" ht="15.75" customHeight="1">
      <c r="A673" s="8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8"/>
      <c r="X673" s="8"/>
      <c r="Y673" s="8"/>
      <c r="Z673" s="8"/>
      <c r="AA673" s="8"/>
    </row>
    <row r="674" ht="15.75" customHeight="1">
      <c r="A674" s="8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8"/>
      <c r="X674" s="8"/>
      <c r="Y674" s="8"/>
      <c r="Z674" s="8"/>
      <c r="AA674" s="8"/>
    </row>
    <row r="675" ht="15.75" customHeight="1">
      <c r="A675" s="8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8"/>
      <c r="X675" s="8"/>
      <c r="Y675" s="8"/>
      <c r="Z675" s="8"/>
      <c r="AA675" s="8"/>
    </row>
    <row r="676" ht="15.75" customHeight="1">
      <c r="A676" s="8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8"/>
      <c r="X676" s="8"/>
      <c r="Y676" s="8"/>
      <c r="Z676" s="8"/>
      <c r="AA676" s="8"/>
    </row>
    <row r="677" ht="15.75" customHeight="1">
      <c r="A677" s="8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8"/>
      <c r="X677" s="8"/>
      <c r="Y677" s="8"/>
      <c r="Z677" s="8"/>
      <c r="AA677" s="8"/>
    </row>
    <row r="678" ht="15.75" customHeight="1">
      <c r="A678" s="8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8"/>
      <c r="X678" s="8"/>
      <c r="Y678" s="8"/>
      <c r="Z678" s="8"/>
      <c r="AA678" s="8"/>
    </row>
    <row r="679" ht="15.75" customHeight="1">
      <c r="A679" s="8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8"/>
      <c r="X679" s="8"/>
      <c r="Y679" s="8"/>
      <c r="Z679" s="8"/>
      <c r="AA679" s="8"/>
    </row>
    <row r="680" ht="15.75" customHeight="1">
      <c r="A680" s="8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8"/>
      <c r="X680" s="8"/>
      <c r="Y680" s="8"/>
      <c r="Z680" s="8"/>
      <c r="AA680" s="8"/>
    </row>
    <row r="681" ht="15.75" customHeight="1">
      <c r="A681" s="8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8"/>
      <c r="X681" s="8"/>
      <c r="Y681" s="8"/>
      <c r="Z681" s="8"/>
      <c r="AA681" s="8"/>
    </row>
    <row r="682" ht="15.75" customHeight="1">
      <c r="A682" s="8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8"/>
      <c r="X682" s="8"/>
      <c r="Y682" s="8"/>
      <c r="Z682" s="8"/>
      <c r="AA682" s="8"/>
    </row>
    <row r="683" ht="15.75" customHeight="1">
      <c r="A683" s="8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8"/>
      <c r="X683" s="8"/>
      <c r="Y683" s="8"/>
      <c r="Z683" s="8"/>
      <c r="AA683" s="8"/>
    </row>
    <row r="684" ht="15.75" customHeight="1">
      <c r="A684" s="8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8"/>
      <c r="X684" s="8"/>
      <c r="Y684" s="8"/>
      <c r="Z684" s="8"/>
      <c r="AA684" s="8"/>
    </row>
    <row r="685" ht="15.75" customHeight="1">
      <c r="A685" s="8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8"/>
      <c r="X685" s="8"/>
      <c r="Y685" s="8"/>
      <c r="Z685" s="8"/>
      <c r="AA685" s="8"/>
    </row>
    <row r="686" ht="15.75" customHeight="1">
      <c r="A686" s="8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8"/>
      <c r="X686" s="8"/>
      <c r="Y686" s="8"/>
      <c r="Z686" s="8"/>
      <c r="AA686" s="8"/>
    </row>
    <row r="687" ht="15.75" customHeight="1">
      <c r="A687" s="8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8"/>
      <c r="X687" s="8"/>
      <c r="Y687" s="8"/>
      <c r="Z687" s="8"/>
      <c r="AA687" s="8"/>
    </row>
    <row r="688" ht="15.75" customHeight="1">
      <c r="A688" s="8"/>
      <c r="B688" s="8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8"/>
      <c r="X688" s="8"/>
      <c r="Y688" s="8"/>
      <c r="Z688" s="8"/>
      <c r="AA688" s="8"/>
    </row>
    <row r="689" ht="15.75" customHeight="1">
      <c r="A689" s="8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8"/>
      <c r="X689" s="8"/>
      <c r="Y689" s="8"/>
      <c r="Z689" s="8"/>
      <c r="AA689" s="8"/>
    </row>
    <row r="690" ht="15.75" customHeight="1">
      <c r="A690" s="8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8"/>
      <c r="X690" s="8"/>
      <c r="Y690" s="8"/>
      <c r="Z690" s="8"/>
      <c r="AA690" s="8"/>
    </row>
    <row r="691" ht="15.75" customHeight="1">
      <c r="A691" s="8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8"/>
      <c r="X691" s="8"/>
      <c r="Y691" s="8"/>
      <c r="Z691" s="8"/>
      <c r="AA691" s="8"/>
    </row>
    <row r="692" ht="15.75" customHeight="1">
      <c r="A692" s="8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8"/>
      <c r="X692" s="8"/>
      <c r="Y692" s="8"/>
      <c r="Z692" s="8"/>
      <c r="AA692" s="8"/>
    </row>
    <row r="693" ht="15.75" customHeight="1">
      <c r="A693" s="8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8"/>
      <c r="X693" s="8"/>
      <c r="Y693" s="8"/>
      <c r="Z693" s="8"/>
      <c r="AA693" s="8"/>
    </row>
    <row r="694" ht="15.75" customHeight="1">
      <c r="A694" s="8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8"/>
      <c r="X694" s="8"/>
      <c r="Y694" s="8"/>
      <c r="Z694" s="8"/>
      <c r="AA694" s="8"/>
    </row>
    <row r="695" ht="15.75" customHeight="1">
      <c r="A695" s="8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8"/>
      <c r="X695" s="8"/>
      <c r="Y695" s="8"/>
      <c r="Z695" s="8"/>
      <c r="AA695" s="8"/>
    </row>
    <row r="696" ht="15.75" customHeight="1">
      <c r="A696" s="8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8"/>
      <c r="X696" s="8"/>
      <c r="Y696" s="8"/>
      <c r="Z696" s="8"/>
      <c r="AA696" s="8"/>
    </row>
    <row r="697" ht="15.75" customHeight="1">
      <c r="A697" s="8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8"/>
      <c r="X697" s="8"/>
      <c r="Y697" s="8"/>
      <c r="Z697" s="8"/>
      <c r="AA697" s="8"/>
    </row>
    <row r="698" ht="15.75" customHeight="1">
      <c r="A698" s="8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8"/>
      <c r="X698" s="8"/>
      <c r="Y698" s="8"/>
      <c r="Z698" s="8"/>
      <c r="AA698" s="8"/>
    </row>
    <row r="699" ht="15.75" customHeight="1">
      <c r="A699" s="8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8"/>
      <c r="X699" s="8"/>
      <c r="Y699" s="8"/>
      <c r="Z699" s="8"/>
      <c r="AA699" s="8"/>
    </row>
    <row r="700" ht="15.75" customHeight="1">
      <c r="A700" s="8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8"/>
      <c r="X700" s="8"/>
      <c r="Y700" s="8"/>
      <c r="Z700" s="8"/>
      <c r="AA700" s="8"/>
    </row>
    <row r="701" ht="15.75" customHeight="1">
      <c r="A701" s="8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8"/>
      <c r="X701" s="8"/>
      <c r="Y701" s="8"/>
      <c r="Z701" s="8"/>
      <c r="AA701" s="8"/>
    </row>
    <row r="702" ht="15.75" customHeight="1">
      <c r="A702" s="8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8"/>
      <c r="X702" s="8"/>
      <c r="Y702" s="8"/>
      <c r="Z702" s="8"/>
      <c r="AA702" s="8"/>
    </row>
    <row r="703" ht="15.75" customHeight="1">
      <c r="A703" s="8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8"/>
      <c r="X703" s="8"/>
      <c r="Y703" s="8"/>
      <c r="Z703" s="8"/>
      <c r="AA703" s="8"/>
    </row>
    <row r="704" ht="15.75" customHeight="1">
      <c r="A704" s="8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8"/>
      <c r="X704" s="8"/>
      <c r="Y704" s="8"/>
      <c r="Z704" s="8"/>
      <c r="AA704" s="8"/>
    </row>
    <row r="705" ht="15.75" customHeight="1">
      <c r="A705" s="8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8"/>
      <c r="X705" s="8"/>
      <c r="Y705" s="8"/>
      <c r="Z705" s="8"/>
      <c r="AA705" s="8"/>
    </row>
    <row r="706" ht="15.75" customHeight="1">
      <c r="A706" s="8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8"/>
      <c r="X706" s="8"/>
      <c r="Y706" s="8"/>
      <c r="Z706" s="8"/>
      <c r="AA706" s="8"/>
    </row>
    <row r="707" ht="15.75" customHeight="1">
      <c r="A707" s="8"/>
      <c r="B707" s="8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8"/>
      <c r="X707" s="8"/>
      <c r="Y707" s="8"/>
      <c r="Z707" s="8"/>
      <c r="AA707" s="8"/>
    </row>
    <row r="708" ht="15.75" customHeight="1">
      <c r="A708" s="8"/>
      <c r="B708" s="8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8"/>
      <c r="X708" s="8"/>
      <c r="Y708" s="8"/>
      <c r="Z708" s="8"/>
      <c r="AA708" s="8"/>
    </row>
    <row r="709" ht="15.75" customHeight="1">
      <c r="A709" s="8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8"/>
      <c r="X709" s="8"/>
      <c r="Y709" s="8"/>
      <c r="Z709" s="8"/>
      <c r="AA709" s="8"/>
    </row>
    <row r="710" ht="15.75" customHeight="1">
      <c r="A710" s="8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8"/>
      <c r="X710" s="8"/>
      <c r="Y710" s="8"/>
      <c r="Z710" s="8"/>
      <c r="AA710" s="8"/>
    </row>
    <row r="711" ht="15.75" customHeight="1">
      <c r="A711" s="8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8"/>
      <c r="X711" s="8"/>
      <c r="Y711" s="8"/>
      <c r="Z711" s="8"/>
      <c r="AA711" s="8"/>
    </row>
    <row r="712" ht="15.75" customHeight="1">
      <c r="A712" s="8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8"/>
      <c r="X712" s="8"/>
      <c r="Y712" s="8"/>
      <c r="Z712" s="8"/>
      <c r="AA712" s="8"/>
    </row>
    <row r="713" ht="15.75" customHeight="1">
      <c r="A713" s="8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8"/>
      <c r="X713" s="8"/>
      <c r="Y713" s="8"/>
      <c r="Z713" s="8"/>
      <c r="AA713" s="8"/>
    </row>
    <row r="714" ht="15.75" customHeight="1">
      <c r="A714" s="8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8"/>
      <c r="X714" s="8"/>
      <c r="Y714" s="8"/>
      <c r="Z714" s="8"/>
      <c r="AA714" s="8"/>
    </row>
    <row r="715" ht="15.75" customHeight="1">
      <c r="A715" s="8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8"/>
      <c r="X715" s="8"/>
      <c r="Y715" s="8"/>
      <c r="Z715" s="8"/>
      <c r="AA715" s="8"/>
    </row>
    <row r="716" ht="15.75" customHeight="1">
      <c r="A716" s="8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8"/>
      <c r="X716" s="8"/>
      <c r="Y716" s="8"/>
      <c r="Z716" s="8"/>
      <c r="AA716" s="8"/>
    </row>
    <row r="717" ht="15.75" customHeight="1">
      <c r="A717" s="8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8"/>
      <c r="X717" s="8"/>
      <c r="Y717" s="8"/>
      <c r="Z717" s="8"/>
      <c r="AA717" s="8"/>
    </row>
    <row r="718" ht="15.75" customHeight="1">
      <c r="A718" s="8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8"/>
      <c r="X718" s="8"/>
      <c r="Y718" s="8"/>
      <c r="Z718" s="8"/>
      <c r="AA718" s="8"/>
    </row>
    <row r="719" ht="15.75" customHeight="1">
      <c r="A719" s="8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8"/>
      <c r="X719" s="8"/>
      <c r="Y719" s="8"/>
      <c r="Z719" s="8"/>
      <c r="AA719" s="8"/>
    </row>
    <row r="720" ht="15.75" customHeight="1">
      <c r="A720" s="8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8"/>
      <c r="X720" s="8"/>
      <c r="Y720" s="8"/>
      <c r="Z720" s="8"/>
      <c r="AA720" s="8"/>
    </row>
    <row r="721" ht="15.75" customHeight="1">
      <c r="A721" s="8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8"/>
      <c r="X721" s="8"/>
      <c r="Y721" s="8"/>
      <c r="Z721" s="8"/>
      <c r="AA721" s="8"/>
    </row>
    <row r="722" ht="15.75" customHeight="1">
      <c r="A722" s="8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8"/>
      <c r="X722" s="8"/>
      <c r="Y722" s="8"/>
      <c r="Z722" s="8"/>
      <c r="AA722" s="8"/>
    </row>
    <row r="723" ht="15.75" customHeight="1">
      <c r="A723" s="8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8"/>
      <c r="X723" s="8"/>
      <c r="Y723" s="8"/>
      <c r="Z723" s="8"/>
      <c r="AA723" s="8"/>
    </row>
    <row r="724" ht="15.75" customHeight="1">
      <c r="A724" s="8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8"/>
      <c r="X724" s="8"/>
      <c r="Y724" s="8"/>
      <c r="Z724" s="8"/>
      <c r="AA724" s="8"/>
    </row>
    <row r="725" ht="15.75" customHeight="1">
      <c r="A725" s="8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8"/>
      <c r="X725" s="8"/>
      <c r="Y725" s="8"/>
      <c r="Z725" s="8"/>
      <c r="AA725" s="8"/>
    </row>
    <row r="726" ht="15.75" customHeight="1">
      <c r="A726" s="8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8"/>
      <c r="X726" s="8"/>
      <c r="Y726" s="8"/>
      <c r="Z726" s="8"/>
      <c r="AA726" s="8"/>
    </row>
    <row r="727" ht="15.75" customHeight="1">
      <c r="A727" s="8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8"/>
      <c r="X727" s="8"/>
      <c r="Y727" s="8"/>
      <c r="Z727" s="8"/>
      <c r="AA727" s="8"/>
    </row>
    <row r="728" ht="15.75" customHeight="1">
      <c r="A728" s="8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8"/>
      <c r="X728" s="8"/>
      <c r="Y728" s="8"/>
      <c r="Z728" s="8"/>
      <c r="AA728" s="8"/>
    </row>
    <row r="729" ht="15.75" customHeight="1">
      <c r="A729" s="8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8"/>
      <c r="X729" s="8"/>
      <c r="Y729" s="8"/>
      <c r="Z729" s="8"/>
      <c r="AA729" s="8"/>
    </row>
    <row r="730" ht="15.75" customHeight="1">
      <c r="A730" s="8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8"/>
      <c r="X730" s="8"/>
      <c r="Y730" s="8"/>
      <c r="Z730" s="8"/>
      <c r="AA730" s="8"/>
    </row>
    <row r="731" ht="15.75" customHeight="1">
      <c r="A731" s="8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8"/>
      <c r="X731" s="8"/>
      <c r="Y731" s="8"/>
      <c r="Z731" s="8"/>
      <c r="AA731" s="8"/>
    </row>
    <row r="732" ht="15.75" customHeight="1">
      <c r="A732" s="8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8"/>
      <c r="X732" s="8"/>
      <c r="Y732" s="8"/>
      <c r="Z732" s="8"/>
      <c r="AA732" s="8"/>
    </row>
    <row r="733" ht="15.75" customHeight="1">
      <c r="A733" s="8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8"/>
      <c r="X733" s="8"/>
      <c r="Y733" s="8"/>
      <c r="Z733" s="8"/>
      <c r="AA733" s="8"/>
    </row>
    <row r="734" ht="15.75" customHeight="1">
      <c r="A734" s="8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8"/>
      <c r="X734" s="8"/>
      <c r="Y734" s="8"/>
      <c r="Z734" s="8"/>
      <c r="AA734" s="8"/>
    </row>
    <row r="735" ht="15.75" customHeight="1">
      <c r="A735" s="8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8"/>
      <c r="X735" s="8"/>
      <c r="Y735" s="8"/>
      <c r="Z735" s="8"/>
      <c r="AA735" s="8"/>
    </row>
    <row r="736" ht="15.75" customHeight="1">
      <c r="A736" s="8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8"/>
      <c r="X736" s="8"/>
      <c r="Y736" s="8"/>
      <c r="Z736" s="8"/>
      <c r="AA736" s="8"/>
    </row>
    <row r="737" ht="15.75" customHeight="1">
      <c r="A737" s="8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8"/>
      <c r="X737" s="8"/>
      <c r="Y737" s="8"/>
      <c r="Z737" s="8"/>
      <c r="AA737" s="8"/>
    </row>
    <row r="738" ht="15.75" customHeight="1">
      <c r="A738" s="8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8"/>
      <c r="X738" s="8"/>
      <c r="Y738" s="8"/>
      <c r="Z738" s="8"/>
      <c r="AA738" s="8"/>
    </row>
    <row r="739" ht="15.75" customHeight="1">
      <c r="A739" s="8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8"/>
      <c r="X739" s="8"/>
      <c r="Y739" s="8"/>
      <c r="Z739" s="8"/>
      <c r="AA739" s="8"/>
    </row>
    <row r="740" ht="15.75" customHeight="1">
      <c r="A740" s="8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8"/>
      <c r="X740" s="8"/>
      <c r="Y740" s="8"/>
      <c r="Z740" s="8"/>
      <c r="AA740" s="8"/>
    </row>
    <row r="741" ht="15.75" customHeight="1">
      <c r="A741" s="8"/>
      <c r="B741" s="8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8"/>
      <c r="X741" s="8"/>
      <c r="Y741" s="8"/>
      <c r="Z741" s="8"/>
      <c r="AA741" s="8"/>
    </row>
    <row r="742" ht="15.75" customHeight="1">
      <c r="A742" s="8"/>
      <c r="B742" s="8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8"/>
      <c r="X742" s="8"/>
      <c r="Y742" s="8"/>
      <c r="Z742" s="8"/>
      <c r="AA742" s="8"/>
    </row>
    <row r="743" ht="15.75" customHeight="1">
      <c r="A743" s="8"/>
      <c r="B743" s="8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8"/>
      <c r="X743" s="8"/>
      <c r="Y743" s="8"/>
      <c r="Z743" s="8"/>
      <c r="AA743" s="8"/>
    </row>
    <row r="744" ht="15.75" customHeight="1">
      <c r="A744" s="8"/>
      <c r="B744" s="8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8"/>
      <c r="X744" s="8"/>
      <c r="Y744" s="8"/>
      <c r="Z744" s="8"/>
      <c r="AA744" s="8"/>
    </row>
    <row r="745" ht="15.75" customHeight="1">
      <c r="A745" s="8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8"/>
      <c r="X745" s="8"/>
      <c r="Y745" s="8"/>
      <c r="Z745" s="8"/>
      <c r="AA745" s="8"/>
    </row>
    <row r="746" ht="15.75" customHeight="1">
      <c r="A746" s="8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8"/>
      <c r="X746" s="8"/>
      <c r="Y746" s="8"/>
      <c r="Z746" s="8"/>
      <c r="AA746" s="8"/>
    </row>
    <row r="747" ht="15.75" customHeight="1">
      <c r="A747" s="8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8"/>
      <c r="X747" s="8"/>
      <c r="Y747" s="8"/>
      <c r="Z747" s="8"/>
      <c r="AA747" s="8"/>
    </row>
    <row r="748" ht="15.75" customHeight="1">
      <c r="A748" s="8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8"/>
      <c r="X748" s="8"/>
      <c r="Y748" s="8"/>
      <c r="Z748" s="8"/>
      <c r="AA748" s="8"/>
    </row>
    <row r="749" ht="15.75" customHeight="1">
      <c r="A749" s="8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8"/>
      <c r="X749" s="8"/>
      <c r="Y749" s="8"/>
      <c r="Z749" s="8"/>
      <c r="AA749" s="8"/>
    </row>
    <row r="750" ht="15.75" customHeight="1">
      <c r="A750" s="8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8"/>
      <c r="X750" s="8"/>
      <c r="Y750" s="8"/>
      <c r="Z750" s="8"/>
      <c r="AA750" s="8"/>
    </row>
    <row r="751" ht="15.75" customHeight="1">
      <c r="A751" s="8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8"/>
      <c r="X751" s="8"/>
      <c r="Y751" s="8"/>
      <c r="Z751" s="8"/>
      <c r="AA751" s="8"/>
    </row>
    <row r="752" ht="15.75" customHeight="1">
      <c r="A752" s="8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8"/>
      <c r="X752" s="8"/>
      <c r="Y752" s="8"/>
      <c r="Z752" s="8"/>
      <c r="AA752" s="8"/>
    </row>
    <row r="753" ht="15.75" customHeight="1">
      <c r="A753" s="8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8"/>
      <c r="X753" s="8"/>
      <c r="Y753" s="8"/>
      <c r="Z753" s="8"/>
      <c r="AA753" s="8"/>
    </row>
    <row r="754" ht="15.75" customHeight="1">
      <c r="A754" s="8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8"/>
      <c r="X754" s="8"/>
      <c r="Y754" s="8"/>
      <c r="Z754" s="8"/>
      <c r="AA754" s="8"/>
    </row>
    <row r="755" ht="15.75" customHeight="1">
      <c r="A755" s="8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8"/>
      <c r="X755" s="8"/>
      <c r="Y755" s="8"/>
      <c r="Z755" s="8"/>
      <c r="AA755" s="8"/>
    </row>
    <row r="756" ht="15.75" customHeight="1">
      <c r="A756" s="8"/>
      <c r="B756" s="8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8"/>
      <c r="X756" s="8"/>
      <c r="Y756" s="8"/>
      <c r="Z756" s="8"/>
      <c r="AA756" s="8"/>
    </row>
    <row r="757" ht="15.75" customHeight="1">
      <c r="A757" s="8"/>
      <c r="B757" s="8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8"/>
      <c r="X757" s="8"/>
      <c r="Y757" s="8"/>
      <c r="Z757" s="8"/>
      <c r="AA757" s="8"/>
    </row>
    <row r="758" ht="15.75" customHeight="1">
      <c r="A758" s="8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8"/>
      <c r="X758" s="8"/>
      <c r="Y758" s="8"/>
      <c r="Z758" s="8"/>
      <c r="AA758" s="8"/>
    </row>
    <row r="759" ht="15.75" customHeight="1">
      <c r="A759" s="8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8"/>
      <c r="X759" s="8"/>
      <c r="Y759" s="8"/>
      <c r="Z759" s="8"/>
      <c r="AA759" s="8"/>
    </row>
    <row r="760" ht="15.75" customHeight="1">
      <c r="A760" s="8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8"/>
      <c r="X760" s="8"/>
      <c r="Y760" s="8"/>
      <c r="Z760" s="8"/>
      <c r="AA760" s="8"/>
    </row>
    <row r="761" ht="15.75" customHeight="1">
      <c r="A761" s="8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8"/>
      <c r="X761" s="8"/>
      <c r="Y761" s="8"/>
      <c r="Z761" s="8"/>
      <c r="AA761" s="8"/>
    </row>
    <row r="762" ht="15.75" customHeight="1">
      <c r="A762" s="8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8"/>
      <c r="X762" s="8"/>
      <c r="Y762" s="8"/>
      <c r="Z762" s="8"/>
      <c r="AA762" s="8"/>
    </row>
    <row r="763" ht="15.75" customHeight="1">
      <c r="A763" s="8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8"/>
      <c r="X763" s="8"/>
      <c r="Y763" s="8"/>
      <c r="Z763" s="8"/>
      <c r="AA763" s="8"/>
    </row>
    <row r="764" ht="15.75" customHeight="1">
      <c r="A764" s="8"/>
      <c r="B764" s="8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8"/>
      <c r="X764" s="8"/>
      <c r="Y764" s="8"/>
      <c r="Z764" s="8"/>
      <c r="AA764" s="8"/>
    </row>
    <row r="765" ht="15.75" customHeight="1">
      <c r="A765" s="8"/>
      <c r="B765" s="8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8"/>
      <c r="X765" s="8"/>
      <c r="Y765" s="8"/>
      <c r="Z765" s="8"/>
      <c r="AA765" s="8"/>
    </row>
    <row r="766" ht="15.75" customHeight="1">
      <c r="A766" s="8"/>
      <c r="B766" s="8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8"/>
      <c r="X766" s="8"/>
      <c r="Y766" s="8"/>
      <c r="Z766" s="8"/>
      <c r="AA766" s="8"/>
    </row>
    <row r="767" ht="15.75" customHeight="1">
      <c r="A767" s="8"/>
      <c r="B767" s="8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8"/>
      <c r="X767" s="8"/>
      <c r="Y767" s="8"/>
      <c r="Z767" s="8"/>
      <c r="AA767" s="8"/>
    </row>
    <row r="768" ht="15.75" customHeight="1">
      <c r="A768" s="8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8"/>
      <c r="X768" s="8"/>
      <c r="Y768" s="8"/>
      <c r="Z768" s="8"/>
      <c r="AA768" s="8"/>
    </row>
    <row r="769" ht="15.75" customHeight="1">
      <c r="A769" s="8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8"/>
      <c r="X769" s="8"/>
      <c r="Y769" s="8"/>
      <c r="Z769" s="8"/>
      <c r="AA769" s="8"/>
    </row>
    <row r="770" ht="15.75" customHeight="1">
      <c r="A770" s="8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8"/>
      <c r="X770" s="8"/>
      <c r="Y770" s="8"/>
      <c r="Z770" s="8"/>
      <c r="AA770" s="8"/>
    </row>
    <row r="771" ht="15.75" customHeight="1">
      <c r="A771" s="8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8"/>
      <c r="X771" s="8"/>
      <c r="Y771" s="8"/>
      <c r="Z771" s="8"/>
      <c r="AA771" s="8"/>
    </row>
    <row r="772" ht="15.75" customHeight="1">
      <c r="A772" s="8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8"/>
      <c r="X772" s="8"/>
      <c r="Y772" s="8"/>
      <c r="Z772" s="8"/>
      <c r="AA772" s="8"/>
    </row>
    <row r="773" ht="15.75" customHeight="1">
      <c r="A773" s="8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8"/>
      <c r="X773" s="8"/>
      <c r="Y773" s="8"/>
      <c r="Z773" s="8"/>
      <c r="AA773" s="8"/>
    </row>
    <row r="774" ht="15.75" customHeight="1">
      <c r="A774" s="8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8"/>
      <c r="X774" s="8"/>
      <c r="Y774" s="8"/>
      <c r="Z774" s="8"/>
      <c r="AA774" s="8"/>
    </row>
    <row r="775" ht="15.75" customHeight="1">
      <c r="A775" s="8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8"/>
      <c r="X775" s="8"/>
      <c r="Y775" s="8"/>
      <c r="Z775" s="8"/>
      <c r="AA775" s="8"/>
    </row>
    <row r="776" ht="15.75" customHeight="1">
      <c r="A776" s="8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8"/>
      <c r="X776" s="8"/>
      <c r="Y776" s="8"/>
      <c r="Z776" s="8"/>
      <c r="AA776" s="8"/>
    </row>
    <row r="777" ht="15.75" customHeight="1">
      <c r="A777" s="8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8"/>
      <c r="X777" s="8"/>
      <c r="Y777" s="8"/>
      <c r="Z777" s="8"/>
      <c r="AA777" s="8"/>
    </row>
    <row r="778" ht="15.75" customHeight="1">
      <c r="A778" s="8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8"/>
      <c r="X778" s="8"/>
      <c r="Y778" s="8"/>
      <c r="Z778" s="8"/>
      <c r="AA778" s="8"/>
    </row>
    <row r="779" ht="15.75" customHeight="1">
      <c r="A779" s="8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8"/>
      <c r="X779" s="8"/>
      <c r="Y779" s="8"/>
      <c r="Z779" s="8"/>
      <c r="AA779" s="8"/>
    </row>
    <row r="780" ht="15.75" customHeight="1">
      <c r="A780" s="8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8"/>
      <c r="X780" s="8"/>
      <c r="Y780" s="8"/>
      <c r="Z780" s="8"/>
      <c r="AA780" s="8"/>
    </row>
    <row r="781" ht="15.75" customHeight="1">
      <c r="A781" s="8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8"/>
      <c r="X781" s="8"/>
      <c r="Y781" s="8"/>
      <c r="Z781" s="8"/>
      <c r="AA781" s="8"/>
    </row>
    <row r="782" ht="15.75" customHeight="1">
      <c r="A782" s="8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8"/>
      <c r="X782" s="8"/>
      <c r="Y782" s="8"/>
      <c r="Z782" s="8"/>
      <c r="AA782" s="8"/>
    </row>
    <row r="783" ht="15.75" customHeight="1">
      <c r="A783" s="8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8"/>
      <c r="X783" s="8"/>
      <c r="Y783" s="8"/>
      <c r="Z783" s="8"/>
      <c r="AA783" s="8"/>
    </row>
    <row r="784" ht="15.75" customHeight="1">
      <c r="A784" s="8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8"/>
      <c r="X784" s="8"/>
      <c r="Y784" s="8"/>
      <c r="Z784" s="8"/>
      <c r="AA784" s="8"/>
    </row>
    <row r="785" ht="15.75" customHeight="1">
      <c r="A785" s="8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8"/>
      <c r="X785" s="8"/>
      <c r="Y785" s="8"/>
      <c r="Z785" s="8"/>
      <c r="AA785" s="8"/>
    </row>
    <row r="786" ht="15.75" customHeight="1">
      <c r="A786" s="8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8"/>
      <c r="X786" s="8"/>
      <c r="Y786" s="8"/>
      <c r="Z786" s="8"/>
      <c r="AA786" s="8"/>
    </row>
    <row r="787" ht="15.75" customHeight="1">
      <c r="A787" s="8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8"/>
      <c r="X787" s="8"/>
      <c r="Y787" s="8"/>
      <c r="Z787" s="8"/>
      <c r="AA787" s="8"/>
    </row>
    <row r="788" ht="15.75" customHeight="1">
      <c r="A788" s="8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8"/>
      <c r="X788" s="8"/>
      <c r="Y788" s="8"/>
      <c r="Z788" s="8"/>
      <c r="AA788" s="8"/>
    </row>
    <row r="789" ht="15.75" customHeight="1">
      <c r="A789" s="8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8"/>
      <c r="X789" s="8"/>
      <c r="Y789" s="8"/>
      <c r="Z789" s="8"/>
      <c r="AA789" s="8"/>
    </row>
    <row r="790" ht="15.75" customHeight="1">
      <c r="A790" s="8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8"/>
      <c r="X790" s="8"/>
      <c r="Y790" s="8"/>
      <c r="Z790" s="8"/>
      <c r="AA790" s="8"/>
    </row>
    <row r="791" ht="15.75" customHeight="1">
      <c r="A791" s="8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8"/>
      <c r="X791" s="8"/>
      <c r="Y791" s="8"/>
      <c r="Z791" s="8"/>
      <c r="AA791" s="8"/>
    </row>
    <row r="792" ht="15.75" customHeight="1">
      <c r="A792" s="8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8"/>
      <c r="X792" s="8"/>
      <c r="Y792" s="8"/>
      <c r="Z792" s="8"/>
      <c r="AA792" s="8"/>
    </row>
    <row r="793" ht="15.75" customHeight="1">
      <c r="A793" s="8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8"/>
      <c r="X793" s="8"/>
      <c r="Y793" s="8"/>
      <c r="Z793" s="8"/>
      <c r="AA793" s="8"/>
    </row>
    <row r="794" ht="15.75" customHeight="1">
      <c r="A794" s="8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8"/>
      <c r="X794" s="8"/>
      <c r="Y794" s="8"/>
      <c r="Z794" s="8"/>
      <c r="AA794" s="8"/>
    </row>
    <row r="795" ht="15.75" customHeight="1">
      <c r="A795" s="8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8"/>
      <c r="X795" s="8"/>
      <c r="Y795" s="8"/>
      <c r="Z795" s="8"/>
      <c r="AA795" s="8"/>
    </row>
    <row r="796" ht="15.75" customHeight="1">
      <c r="A796" s="8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8"/>
      <c r="X796" s="8"/>
      <c r="Y796" s="8"/>
      <c r="Z796" s="8"/>
      <c r="AA796" s="8"/>
    </row>
    <row r="797" ht="15.75" customHeight="1">
      <c r="A797" s="8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8"/>
      <c r="X797" s="8"/>
      <c r="Y797" s="8"/>
      <c r="Z797" s="8"/>
      <c r="AA797" s="8"/>
    </row>
    <row r="798" ht="15.75" customHeight="1">
      <c r="A798" s="8"/>
      <c r="B798" s="8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8"/>
      <c r="X798" s="8"/>
      <c r="Y798" s="8"/>
      <c r="Z798" s="8"/>
      <c r="AA798" s="8"/>
    </row>
    <row r="799" ht="15.75" customHeight="1">
      <c r="A799" s="8"/>
      <c r="B799" s="8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8"/>
      <c r="X799" s="8"/>
      <c r="Y799" s="8"/>
      <c r="Z799" s="8"/>
      <c r="AA799" s="8"/>
    </row>
    <row r="800" ht="15.75" customHeight="1">
      <c r="A800" s="8"/>
      <c r="B800" s="8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8"/>
      <c r="X800" s="8"/>
      <c r="Y800" s="8"/>
      <c r="Z800" s="8"/>
      <c r="AA800" s="8"/>
    </row>
    <row r="801" ht="15.75" customHeight="1">
      <c r="A801" s="8"/>
      <c r="B801" s="8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8"/>
      <c r="X801" s="8"/>
      <c r="Y801" s="8"/>
      <c r="Z801" s="8"/>
      <c r="AA801" s="8"/>
    </row>
    <row r="802" ht="15.75" customHeight="1">
      <c r="A802" s="8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8"/>
      <c r="X802" s="8"/>
      <c r="Y802" s="8"/>
      <c r="Z802" s="8"/>
      <c r="AA802" s="8"/>
    </row>
    <row r="803" ht="15.75" customHeight="1">
      <c r="A803" s="8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8"/>
      <c r="X803" s="8"/>
      <c r="Y803" s="8"/>
      <c r="Z803" s="8"/>
      <c r="AA803" s="8"/>
    </row>
    <row r="804" ht="15.75" customHeight="1">
      <c r="A804" s="8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8"/>
      <c r="X804" s="8"/>
      <c r="Y804" s="8"/>
      <c r="Z804" s="8"/>
      <c r="AA804" s="8"/>
    </row>
    <row r="805" ht="15.75" customHeight="1">
      <c r="A805" s="8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8"/>
      <c r="X805" s="8"/>
      <c r="Y805" s="8"/>
      <c r="Z805" s="8"/>
      <c r="AA805" s="8"/>
    </row>
    <row r="806" ht="15.75" customHeight="1">
      <c r="A806" s="8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8"/>
      <c r="X806" s="8"/>
      <c r="Y806" s="8"/>
      <c r="Z806" s="8"/>
      <c r="AA806" s="8"/>
    </row>
    <row r="807" ht="15.75" customHeight="1">
      <c r="A807" s="8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8"/>
      <c r="X807" s="8"/>
      <c r="Y807" s="8"/>
      <c r="Z807" s="8"/>
      <c r="AA807" s="8"/>
    </row>
    <row r="808" ht="15.75" customHeight="1">
      <c r="A808" s="8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8"/>
      <c r="X808" s="8"/>
      <c r="Y808" s="8"/>
      <c r="Z808" s="8"/>
      <c r="AA808" s="8"/>
    </row>
    <row r="809" ht="15.75" customHeight="1">
      <c r="A809" s="8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8"/>
      <c r="X809" s="8"/>
      <c r="Y809" s="8"/>
      <c r="Z809" s="8"/>
      <c r="AA809" s="8"/>
    </row>
    <row r="810" ht="15.75" customHeight="1">
      <c r="A810" s="8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8"/>
      <c r="X810" s="8"/>
      <c r="Y810" s="8"/>
      <c r="Z810" s="8"/>
      <c r="AA810" s="8"/>
    </row>
    <row r="811" ht="15.75" customHeight="1">
      <c r="A811" s="8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8"/>
      <c r="X811" s="8"/>
      <c r="Y811" s="8"/>
      <c r="Z811" s="8"/>
      <c r="AA811" s="8"/>
    </row>
    <row r="812" ht="15.75" customHeight="1">
      <c r="A812" s="8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8"/>
      <c r="X812" s="8"/>
      <c r="Y812" s="8"/>
      <c r="Z812" s="8"/>
      <c r="AA812" s="8"/>
    </row>
    <row r="813" ht="15.75" customHeight="1">
      <c r="A813" s="8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8"/>
      <c r="X813" s="8"/>
      <c r="Y813" s="8"/>
      <c r="Z813" s="8"/>
      <c r="AA813" s="8"/>
    </row>
    <row r="814" ht="15.75" customHeight="1">
      <c r="A814" s="8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8"/>
      <c r="X814" s="8"/>
      <c r="Y814" s="8"/>
      <c r="Z814" s="8"/>
      <c r="AA814" s="8"/>
    </row>
    <row r="815" ht="15.75" customHeight="1">
      <c r="A815" s="8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8"/>
      <c r="X815" s="8"/>
      <c r="Y815" s="8"/>
      <c r="Z815" s="8"/>
      <c r="AA815" s="8"/>
    </row>
    <row r="816" ht="15.75" customHeight="1">
      <c r="A816" s="8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8"/>
      <c r="X816" s="8"/>
      <c r="Y816" s="8"/>
      <c r="Z816" s="8"/>
      <c r="AA816" s="8"/>
    </row>
    <row r="817" ht="15.75" customHeight="1">
      <c r="A817" s="8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8"/>
      <c r="X817" s="8"/>
      <c r="Y817" s="8"/>
      <c r="Z817" s="8"/>
      <c r="AA817" s="8"/>
    </row>
    <row r="818" ht="15.75" customHeight="1">
      <c r="A818" s="8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8"/>
      <c r="X818" s="8"/>
      <c r="Y818" s="8"/>
      <c r="Z818" s="8"/>
      <c r="AA818" s="8"/>
    </row>
    <row r="819" ht="15.75" customHeight="1">
      <c r="A819" s="8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8"/>
      <c r="X819" s="8"/>
      <c r="Y819" s="8"/>
      <c r="Z819" s="8"/>
      <c r="AA819" s="8"/>
    </row>
    <row r="820" ht="15.75" customHeight="1">
      <c r="A820" s="8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8"/>
      <c r="X820" s="8"/>
      <c r="Y820" s="8"/>
      <c r="Z820" s="8"/>
      <c r="AA820" s="8"/>
    </row>
    <row r="821" ht="15.75" customHeight="1">
      <c r="A821" s="8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8"/>
      <c r="X821" s="8"/>
      <c r="Y821" s="8"/>
      <c r="Z821" s="8"/>
      <c r="AA821" s="8"/>
    </row>
    <row r="822" ht="15.75" customHeight="1">
      <c r="A822" s="8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8"/>
      <c r="X822" s="8"/>
      <c r="Y822" s="8"/>
      <c r="Z822" s="8"/>
      <c r="AA822" s="8"/>
    </row>
    <row r="823" ht="15.75" customHeight="1">
      <c r="A823" s="8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8"/>
      <c r="X823" s="8"/>
      <c r="Y823" s="8"/>
      <c r="Z823" s="8"/>
      <c r="AA823" s="8"/>
    </row>
    <row r="824" ht="15.75" customHeight="1">
      <c r="A824" s="8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8"/>
      <c r="X824" s="8"/>
      <c r="Y824" s="8"/>
      <c r="Z824" s="8"/>
      <c r="AA824" s="8"/>
    </row>
    <row r="825" ht="15.75" customHeight="1">
      <c r="A825" s="8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8"/>
      <c r="X825" s="8"/>
      <c r="Y825" s="8"/>
      <c r="Z825" s="8"/>
      <c r="AA825" s="8"/>
    </row>
    <row r="826" ht="15.75" customHeight="1">
      <c r="A826" s="8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8"/>
      <c r="X826" s="8"/>
      <c r="Y826" s="8"/>
      <c r="Z826" s="8"/>
      <c r="AA826" s="8"/>
    </row>
    <row r="827" ht="15.75" customHeight="1">
      <c r="A827" s="8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8"/>
      <c r="X827" s="8"/>
      <c r="Y827" s="8"/>
      <c r="Z827" s="8"/>
      <c r="AA827" s="8"/>
    </row>
    <row r="828" ht="15.75" customHeight="1">
      <c r="A828" s="8"/>
      <c r="B828" s="8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8"/>
      <c r="X828" s="8"/>
      <c r="Y828" s="8"/>
      <c r="Z828" s="8"/>
      <c r="AA828" s="8"/>
    </row>
    <row r="829" ht="15.75" customHeight="1">
      <c r="A829" s="8"/>
      <c r="B829" s="8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8"/>
      <c r="X829" s="8"/>
      <c r="Y829" s="8"/>
      <c r="Z829" s="8"/>
      <c r="AA829" s="8"/>
    </row>
    <row r="830" ht="15.75" customHeight="1">
      <c r="A830" s="8"/>
      <c r="B830" s="8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8"/>
      <c r="X830" s="8"/>
      <c r="Y830" s="8"/>
      <c r="Z830" s="8"/>
      <c r="AA830" s="8"/>
    </row>
    <row r="831" ht="15.75" customHeight="1">
      <c r="A831" s="8"/>
      <c r="B831" s="8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8"/>
      <c r="X831" s="8"/>
      <c r="Y831" s="8"/>
      <c r="Z831" s="8"/>
      <c r="AA831" s="8"/>
    </row>
    <row r="832" ht="15.75" customHeight="1">
      <c r="A832" s="8"/>
      <c r="B832" s="8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8"/>
      <c r="X832" s="8"/>
      <c r="Y832" s="8"/>
      <c r="Z832" s="8"/>
      <c r="AA832" s="8"/>
    </row>
    <row r="833" ht="15.75" customHeight="1">
      <c r="A833" s="8"/>
      <c r="B833" s="8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8"/>
      <c r="X833" s="8"/>
      <c r="Y833" s="8"/>
      <c r="Z833" s="8"/>
      <c r="AA833" s="8"/>
    </row>
    <row r="834" ht="15.75" customHeight="1">
      <c r="A834" s="8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8"/>
      <c r="X834" s="8"/>
      <c r="Y834" s="8"/>
      <c r="Z834" s="8"/>
      <c r="AA834" s="8"/>
    </row>
    <row r="835" ht="15.75" customHeight="1">
      <c r="A835" s="8"/>
      <c r="B835" s="8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8"/>
      <c r="X835" s="8"/>
      <c r="Y835" s="8"/>
      <c r="Z835" s="8"/>
      <c r="AA835" s="8"/>
    </row>
    <row r="836" ht="15.75" customHeight="1">
      <c r="A836" s="8"/>
      <c r="B836" s="8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8"/>
      <c r="X836" s="8"/>
      <c r="Y836" s="8"/>
      <c r="Z836" s="8"/>
      <c r="AA836" s="8"/>
    </row>
    <row r="837" ht="15.75" customHeight="1">
      <c r="A837" s="8"/>
      <c r="B837" s="8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8"/>
      <c r="X837" s="8"/>
      <c r="Y837" s="8"/>
      <c r="Z837" s="8"/>
      <c r="AA837" s="8"/>
    </row>
    <row r="838" ht="15.75" customHeight="1">
      <c r="A838" s="8"/>
      <c r="B838" s="8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8"/>
      <c r="X838" s="8"/>
      <c r="Y838" s="8"/>
      <c r="Z838" s="8"/>
      <c r="AA838" s="8"/>
    </row>
    <row r="839" ht="15.75" customHeight="1">
      <c r="A839" s="8"/>
      <c r="B839" s="8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8"/>
      <c r="X839" s="8"/>
      <c r="Y839" s="8"/>
      <c r="Z839" s="8"/>
      <c r="AA839" s="8"/>
    </row>
    <row r="840" ht="15.75" customHeight="1">
      <c r="A840" s="8"/>
      <c r="B840" s="8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8"/>
      <c r="X840" s="8"/>
      <c r="Y840" s="8"/>
      <c r="Z840" s="8"/>
      <c r="AA840" s="8"/>
    </row>
    <row r="841" ht="15.75" customHeight="1">
      <c r="A841" s="8"/>
      <c r="B841" s="8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8"/>
      <c r="X841" s="8"/>
      <c r="Y841" s="8"/>
      <c r="Z841" s="8"/>
      <c r="AA841" s="8"/>
    </row>
    <row r="842" ht="15.75" customHeight="1">
      <c r="A842" s="8"/>
      <c r="B842" s="8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8"/>
      <c r="X842" s="8"/>
      <c r="Y842" s="8"/>
      <c r="Z842" s="8"/>
      <c r="AA842" s="8"/>
    </row>
    <row r="843" ht="15.75" customHeight="1">
      <c r="A843" s="8"/>
      <c r="B843" s="8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8"/>
      <c r="X843" s="8"/>
      <c r="Y843" s="8"/>
      <c r="Z843" s="8"/>
      <c r="AA843" s="8"/>
    </row>
    <row r="844" ht="15.75" customHeight="1">
      <c r="A844" s="8"/>
      <c r="B844" s="8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8"/>
      <c r="X844" s="8"/>
      <c r="Y844" s="8"/>
      <c r="Z844" s="8"/>
      <c r="AA844" s="8"/>
    </row>
    <row r="845" ht="15.75" customHeight="1">
      <c r="A845" s="8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8"/>
      <c r="X845" s="8"/>
      <c r="Y845" s="8"/>
      <c r="Z845" s="8"/>
      <c r="AA845" s="8"/>
    </row>
    <row r="846" ht="15.75" customHeight="1">
      <c r="A846" s="8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8"/>
      <c r="X846" s="8"/>
      <c r="Y846" s="8"/>
      <c r="Z846" s="8"/>
      <c r="AA846" s="8"/>
    </row>
    <row r="847" ht="15.75" customHeight="1">
      <c r="A847" s="8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8"/>
      <c r="X847" s="8"/>
      <c r="Y847" s="8"/>
      <c r="Z847" s="8"/>
      <c r="AA847" s="8"/>
    </row>
    <row r="848" ht="15.75" customHeight="1">
      <c r="A848" s="8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8"/>
      <c r="X848" s="8"/>
      <c r="Y848" s="8"/>
      <c r="Z848" s="8"/>
      <c r="AA848" s="8"/>
    </row>
    <row r="849" ht="15.75" customHeight="1">
      <c r="A849" s="8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8"/>
      <c r="X849" s="8"/>
      <c r="Y849" s="8"/>
      <c r="Z849" s="8"/>
      <c r="AA849" s="8"/>
    </row>
    <row r="850" ht="15.75" customHeight="1">
      <c r="A850" s="8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8"/>
      <c r="X850" s="8"/>
      <c r="Y850" s="8"/>
      <c r="Z850" s="8"/>
      <c r="AA850" s="8"/>
    </row>
    <row r="851" ht="15.75" customHeight="1">
      <c r="A851" s="8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8"/>
      <c r="X851" s="8"/>
      <c r="Y851" s="8"/>
      <c r="Z851" s="8"/>
      <c r="AA851" s="8"/>
    </row>
    <row r="852" ht="15.75" customHeight="1">
      <c r="A852" s="8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8"/>
      <c r="X852" s="8"/>
      <c r="Y852" s="8"/>
      <c r="Z852" s="8"/>
      <c r="AA852" s="8"/>
    </row>
    <row r="853" ht="15.75" customHeight="1">
      <c r="A853" s="8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8"/>
      <c r="X853" s="8"/>
      <c r="Y853" s="8"/>
      <c r="Z853" s="8"/>
      <c r="AA853" s="8"/>
    </row>
    <row r="854" ht="15.75" customHeight="1">
      <c r="A854" s="8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8"/>
      <c r="X854" s="8"/>
      <c r="Y854" s="8"/>
      <c r="Z854" s="8"/>
      <c r="AA854" s="8"/>
    </row>
    <row r="855" ht="15.75" customHeight="1">
      <c r="A855" s="8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8"/>
      <c r="X855" s="8"/>
      <c r="Y855" s="8"/>
      <c r="Z855" s="8"/>
      <c r="AA855" s="8"/>
    </row>
    <row r="856" ht="15.75" customHeight="1">
      <c r="A856" s="8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8"/>
      <c r="X856" s="8"/>
      <c r="Y856" s="8"/>
      <c r="Z856" s="8"/>
      <c r="AA856" s="8"/>
    </row>
    <row r="857" ht="15.75" customHeight="1">
      <c r="A857" s="8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8"/>
      <c r="X857" s="8"/>
      <c r="Y857" s="8"/>
      <c r="Z857" s="8"/>
      <c r="AA857" s="8"/>
    </row>
    <row r="858" ht="15.75" customHeight="1">
      <c r="A858" s="8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8"/>
      <c r="X858" s="8"/>
      <c r="Y858" s="8"/>
      <c r="Z858" s="8"/>
      <c r="AA858" s="8"/>
    </row>
    <row r="859" ht="15.75" customHeight="1">
      <c r="A859" s="8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8"/>
      <c r="X859" s="8"/>
      <c r="Y859" s="8"/>
      <c r="Z859" s="8"/>
      <c r="AA859" s="8"/>
    </row>
    <row r="860" ht="15.75" customHeight="1">
      <c r="A860" s="8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8"/>
      <c r="X860" s="8"/>
      <c r="Y860" s="8"/>
      <c r="Z860" s="8"/>
      <c r="AA860" s="8"/>
    </row>
    <row r="861" ht="15.75" customHeight="1">
      <c r="A861" s="8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8"/>
      <c r="X861" s="8"/>
      <c r="Y861" s="8"/>
      <c r="Z861" s="8"/>
      <c r="AA861" s="8"/>
    </row>
    <row r="862" ht="15.75" customHeight="1">
      <c r="A862" s="8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8"/>
      <c r="X862" s="8"/>
      <c r="Y862" s="8"/>
      <c r="Z862" s="8"/>
      <c r="AA862" s="8"/>
    </row>
    <row r="863" ht="15.75" customHeight="1">
      <c r="A863" s="8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8"/>
      <c r="X863" s="8"/>
      <c r="Y863" s="8"/>
      <c r="Z863" s="8"/>
      <c r="AA863" s="8"/>
    </row>
    <row r="864" ht="15.75" customHeight="1">
      <c r="A864" s="8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8"/>
      <c r="X864" s="8"/>
      <c r="Y864" s="8"/>
      <c r="Z864" s="8"/>
      <c r="AA864" s="8"/>
    </row>
    <row r="865" ht="15.75" customHeight="1">
      <c r="A865" s="8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8"/>
      <c r="X865" s="8"/>
      <c r="Y865" s="8"/>
      <c r="Z865" s="8"/>
      <c r="AA865" s="8"/>
    </row>
    <row r="866" ht="15.75" customHeight="1">
      <c r="A866" s="8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8"/>
      <c r="X866" s="8"/>
      <c r="Y866" s="8"/>
      <c r="Z866" s="8"/>
      <c r="AA866" s="8"/>
    </row>
    <row r="867" ht="15.75" customHeight="1">
      <c r="A867" s="8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8"/>
      <c r="X867" s="8"/>
      <c r="Y867" s="8"/>
      <c r="Z867" s="8"/>
      <c r="AA867" s="8"/>
    </row>
    <row r="868" ht="15.75" customHeight="1">
      <c r="A868" s="8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8"/>
      <c r="X868" s="8"/>
      <c r="Y868" s="8"/>
      <c r="Z868" s="8"/>
      <c r="AA868" s="8"/>
    </row>
    <row r="869" ht="15.75" customHeight="1">
      <c r="A869" s="8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8"/>
      <c r="X869" s="8"/>
      <c r="Y869" s="8"/>
      <c r="Z869" s="8"/>
      <c r="AA869" s="8"/>
    </row>
    <row r="870" ht="15.75" customHeight="1">
      <c r="A870" s="8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8"/>
      <c r="X870" s="8"/>
      <c r="Y870" s="8"/>
      <c r="Z870" s="8"/>
      <c r="AA870" s="8"/>
    </row>
    <row r="871" ht="15.75" customHeight="1">
      <c r="A871" s="8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8"/>
      <c r="X871" s="8"/>
      <c r="Y871" s="8"/>
      <c r="Z871" s="8"/>
      <c r="AA871" s="8"/>
    </row>
    <row r="872" ht="15.75" customHeight="1">
      <c r="A872" s="8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8"/>
      <c r="X872" s="8"/>
      <c r="Y872" s="8"/>
      <c r="Z872" s="8"/>
      <c r="AA872" s="8"/>
    </row>
    <row r="873" ht="15.75" customHeight="1">
      <c r="A873" s="8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8"/>
      <c r="X873" s="8"/>
      <c r="Y873" s="8"/>
      <c r="Z873" s="8"/>
      <c r="AA873" s="8"/>
    </row>
    <row r="874" ht="15.75" customHeight="1">
      <c r="A874" s="8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8"/>
      <c r="X874" s="8"/>
      <c r="Y874" s="8"/>
      <c r="Z874" s="8"/>
      <c r="AA874" s="8"/>
    </row>
    <row r="875" ht="15.75" customHeight="1">
      <c r="A875" s="8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8"/>
      <c r="X875" s="8"/>
      <c r="Y875" s="8"/>
      <c r="Z875" s="8"/>
      <c r="AA875" s="8"/>
    </row>
    <row r="876" ht="15.75" customHeight="1">
      <c r="A876" s="8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8"/>
      <c r="X876" s="8"/>
      <c r="Y876" s="8"/>
      <c r="Z876" s="8"/>
      <c r="AA876" s="8"/>
    </row>
    <row r="877" ht="15.75" customHeight="1">
      <c r="A877" s="8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8"/>
      <c r="X877" s="8"/>
      <c r="Y877" s="8"/>
      <c r="Z877" s="8"/>
      <c r="AA877" s="8"/>
    </row>
    <row r="878" ht="15.75" customHeight="1">
      <c r="A878" s="8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8"/>
      <c r="X878" s="8"/>
      <c r="Y878" s="8"/>
      <c r="Z878" s="8"/>
      <c r="AA878" s="8"/>
    </row>
    <row r="879" ht="15.75" customHeight="1">
      <c r="A879" s="8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8"/>
      <c r="X879" s="8"/>
      <c r="Y879" s="8"/>
      <c r="Z879" s="8"/>
      <c r="AA879" s="8"/>
    </row>
    <row r="880" ht="15.75" customHeight="1">
      <c r="A880" s="8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8"/>
      <c r="X880" s="8"/>
      <c r="Y880" s="8"/>
      <c r="Z880" s="8"/>
      <c r="AA880" s="8"/>
    </row>
    <row r="881" ht="15.75" customHeight="1">
      <c r="A881" s="8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8"/>
      <c r="X881" s="8"/>
      <c r="Y881" s="8"/>
      <c r="Z881" s="8"/>
      <c r="AA881" s="8"/>
    </row>
    <row r="882" ht="15.75" customHeight="1">
      <c r="A882" s="8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8"/>
      <c r="X882" s="8"/>
      <c r="Y882" s="8"/>
      <c r="Z882" s="8"/>
      <c r="AA882" s="8"/>
    </row>
    <row r="883" ht="15.75" customHeight="1">
      <c r="A883" s="8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8"/>
      <c r="X883" s="8"/>
      <c r="Y883" s="8"/>
      <c r="Z883" s="8"/>
      <c r="AA883" s="8"/>
    </row>
    <row r="884" ht="15.75" customHeight="1">
      <c r="A884" s="8"/>
      <c r="B884" s="8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8"/>
      <c r="X884" s="8"/>
      <c r="Y884" s="8"/>
      <c r="Z884" s="8"/>
      <c r="AA884" s="8"/>
    </row>
    <row r="885" ht="15.75" customHeight="1">
      <c r="A885" s="8"/>
      <c r="B885" s="8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8"/>
      <c r="X885" s="8"/>
      <c r="Y885" s="8"/>
      <c r="Z885" s="8"/>
      <c r="AA885" s="8"/>
    </row>
    <row r="886" ht="15.75" customHeight="1">
      <c r="A886" s="8"/>
      <c r="B886" s="8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8"/>
      <c r="X886" s="8"/>
      <c r="Y886" s="8"/>
      <c r="Z886" s="8"/>
      <c r="AA886" s="8"/>
    </row>
    <row r="887" ht="15.75" customHeight="1">
      <c r="A887" s="8"/>
      <c r="B887" s="8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8"/>
      <c r="X887" s="8"/>
      <c r="Y887" s="8"/>
      <c r="Z887" s="8"/>
      <c r="AA887" s="8"/>
    </row>
    <row r="888" ht="15.75" customHeight="1">
      <c r="A888" s="8"/>
      <c r="B888" s="8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8"/>
      <c r="X888" s="8"/>
      <c r="Y888" s="8"/>
      <c r="Z888" s="8"/>
      <c r="AA888" s="8"/>
    </row>
    <row r="889" ht="15.75" customHeight="1">
      <c r="A889" s="8"/>
      <c r="B889" s="8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8"/>
      <c r="X889" s="8"/>
      <c r="Y889" s="8"/>
      <c r="Z889" s="8"/>
      <c r="AA889" s="8"/>
    </row>
    <row r="890" ht="15.75" customHeight="1">
      <c r="A890" s="8"/>
      <c r="B890" s="8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8"/>
      <c r="X890" s="8"/>
      <c r="Y890" s="8"/>
      <c r="Z890" s="8"/>
      <c r="AA890" s="8"/>
    </row>
    <row r="891" ht="15.75" customHeight="1">
      <c r="A891" s="8"/>
      <c r="B891" s="8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8"/>
      <c r="X891" s="8"/>
      <c r="Y891" s="8"/>
      <c r="Z891" s="8"/>
      <c r="AA891" s="8"/>
    </row>
    <row r="892" ht="15.75" customHeight="1">
      <c r="A892" s="8"/>
      <c r="B892" s="8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8"/>
      <c r="X892" s="8"/>
      <c r="Y892" s="8"/>
      <c r="Z892" s="8"/>
      <c r="AA892" s="8"/>
    </row>
    <row r="893" ht="15.75" customHeight="1">
      <c r="A893" s="8"/>
      <c r="B893" s="8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8"/>
      <c r="X893" s="8"/>
      <c r="Y893" s="8"/>
      <c r="Z893" s="8"/>
      <c r="AA893" s="8"/>
    </row>
    <row r="894" ht="15.75" customHeight="1">
      <c r="A894" s="8"/>
      <c r="B894" s="8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8"/>
      <c r="X894" s="8"/>
      <c r="Y894" s="8"/>
      <c r="Z894" s="8"/>
      <c r="AA894" s="8"/>
    </row>
    <row r="895" ht="15.75" customHeight="1">
      <c r="A895" s="8"/>
      <c r="B895" s="8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8"/>
      <c r="X895" s="8"/>
      <c r="Y895" s="8"/>
      <c r="Z895" s="8"/>
      <c r="AA895" s="8"/>
    </row>
    <row r="896" ht="15.75" customHeight="1">
      <c r="A896" s="8"/>
      <c r="B896" s="8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8"/>
      <c r="X896" s="8"/>
      <c r="Y896" s="8"/>
      <c r="Z896" s="8"/>
      <c r="AA896" s="8"/>
    </row>
    <row r="897" ht="15.75" customHeight="1">
      <c r="A897" s="8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8"/>
      <c r="X897" s="8"/>
      <c r="Y897" s="8"/>
      <c r="Z897" s="8"/>
      <c r="AA897" s="8"/>
    </row>
    <row r="898" ht="15.75" customHeight="1">
      <c r="A898" s="8"/>
      <c r="B898" s="8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8"/>
      <c r="X898" s="8"/>
      <c r="Y898" s="8"/>
      <c r="Z898" s="8"/>
      <c r="AA898" s="8"/>
    </row>
    <row r="899" ht="15.75" customHeight="1">
      <c r="A899" s="8"/>
      <c r="B899" s="8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8"/>
      <c r="X899" s="8"/>
      <c r="Y899" s="8"/>
      <c r="Z899" s="8"/>
      <c r="AA899" s="8"/>
    </row>
    <row r="900" ht="15.75" customHeight="1">
      <c r="A900" s="8"/>
      <c r="B900" s="8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8"/>
      <c r="X900" s="8"/>
      <c r="Y900" s="8"/>
      <c r="Z900" s="8"/>
      <c r="AA900" s="8"/>
    </row>
    <row r="901" ht="15.75" customHeight="1">
      <c r="A901" s="8"/>
      <c r="B901" s="8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8"/>
      <c r="X901" s="8"/>
      <c r="Y901" s="8"/>
      <c r="Z901" s="8"/>
      <c r="AA901" s="8"/>
    </row>
    <row r="902" ht="15.75" customHeight="1">
      <c r="A902" s="8"/>
      <c r="B902" s="8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8"/>
      <c r="X902" s="8"/>
      <c r="Y902" s="8"/>
      <c r="Z902" s="8"/>
      <c r="AA902" s="8"/>
    </row>
    <row r="903" ht="15.75" customHeight="1">
      <c r="A903" s="8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8"/>
      <c r="X903" s="8"/>
      <c r="Y903" s="8"/>
      <c r="Z903" s="8"/>
      <c r="AA903" s="8"/>
    </row>
    <row r="904" ht="15.75" customHeight="1">
      <c r="A904" s="8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8"/>
      <c r="X904" s="8"/>
      <c r="Y904" s="8"/>
      <c r="Z904" s="8"/>
      <c r="AA904" s="8"/>
    </row>
    <row r="905" ht="15.75" customHeight="1">
      <c r="A905" s="8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8"/>
      <c r="X905" s="8"/>
      <c r="Y905" s="8"/>
      <c r="Z905" s="8"/>
      <c r="AA905" s="8"/>
    </row>
    <row r="906" ht="15.75" customHeight="1">
      <c r="A906" s="8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8"/>
      <c r="X906" s="8"/>
      <c r="Y906" s="8"/>
      <c r="Z906" s="8"/>
      <c r="AA906" s="8"/>
    </row>
    <row r="907" ht="15.75" customHeight="1">
      <c r="A907" s="8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8"/>
      <c r="X907" s="8"/>
      <c r="Y907" s="8"/>
      <c r="Z907" s="8"/>
      <c r="AA907" s="8"/>
    </row>
    <row r="908" ht="15.75" customHeight="1">
      <c r="A908" s="8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8"/>
      <c r="X908" s="8"/>
      <c r="Y908" s="8"/>
      <c r="Z908" s="8"/>
      <c r="AA908" s="8"/>
    </row>
    <row r="909" ht="15.75" customHeight="1">
      <c r="A909" s="8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8"/>
      <c r="X909" s="8"/>
      <c r="Y909" s="8"/>
      <c r="Z909" s="8"/>
      <c r="AA909" s="8"/>
    </row>
    <row r="910" ht="15.75" customHeight="1">
      <c r="A910" s="8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8"/>
      <c r="X910" s="8"/>
      <c r="Y910" s="8"/>
      <c r="Z910" s="8"/>
      <c r="AA910" s="8"/>
    </row>
    <row r="911" ht="15.75" customHeight="1">
      <c r="A911" s="8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8"/>
      <c r="X911" s="8"/>
      <c r="Y911" s="8"/>
      <c r="Z911" s="8"/>
      <c r="AA911" s="8"/>
    </row>
    <row r="912" ht="15.75" customHeight="1">
      <c r="A912" s="8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8"/>
      <c r="X912" s="8"/>
      <c r="Y912" s="8"/>
      <c r="Z912" s="8"/>
      <c r="AA912" s="8"/>
    </row>
    <row r="913" ht="15.75" customHeight="1">
      <c r="A913" s="8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8"/>
      <c r="X913" s="8"/>
      <c r="Y913" s="8"/>
      <c r="Z913" s="8"/>
      <c r="AA913" s="8"/>
    </row>
    <row r="914" ht="15.75" customHeight="1">
      <c r="A914" s="8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8"/>
      <c r="X914" s="8"/>
      <c r="Y914" s="8"/>
      <c r="Z914" s="8"/>
      <c r="AA914" s="8"/>
    </row>
    <row r="915" ht="15.75" customHeight="1">
      <c r="A915" s="8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8"/>
      <c r="X915" s="8"/>
      <c r="Y915" s="8"/>
      <c r="Z915" s="8"/>
      <c r="AA915" s="8"/>
    </row>
    <row r="916" ht="15.75" customHeight="1">
      <c r="A916" s="8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8"/>
      <c r="X916" s="8"/>
      <c r="Y916" s="8"/>
      <c r="Z916" s="8"/>
      <c r="AA916" s="8"/>
    </row>
    <row r="917" ht="15.75" customHeight="1">
      <c r="A917" s="8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8"/>
      <c r="X917" s="8"/>
      <c r="Y917" s="8"/>
      <c r="Z917" s="8"/>
      <c r="AA917" s="8"/>
    </row>
    <row r="918" ht="15.75" customHeight="1">
      <c r="A918" s="8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8"/>
      <c r="X918" s="8"/>
      <c r="Y918" s="8"/>
      <c r="Z918" s="8"/>
      <c r="AA918" s="8"/>
    </row>
    <row r="919" ht="15.75" customHeight="1">
      <c r="A919" s="8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8"/>
      <c r="X919" s="8"/>
      <c r="Y919" s="8"/>
      <c r="Z919" s="8"/>
      <c r="AA919" s="8"/>
    </row>
    <row r="920" ht="15.75" customHeight="1">
      <c r="A920" s="8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8"/>
      <c r="X920" s="8"/>
      <c r="Y920" s="8"/>
      <c r="Z920" s="8"/>
      <c r="AA920" s="8"/>
    </row>
    <row r="921" ht="15.75" customHeight="1">
      <c r="A921" s="8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8"/>
      <c r="X921" s="8"/>
      <c r="Y921" s="8"/>
      <c r="Z921" s="8"/>
      <c r="AA921" s="8"/>
    </row>
    <row r="922" ht="15.75" customHeight="1">
      <c r="A922" s="8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8"/>
      <c r="X922" s="8"/>
      <c r="Y922" s="8"/>
      <c r="Z922" s="8"/>
      <c r="AA922" s="8"/>
    </row>
    <row r="923" ht="15.75" customHeight="1">
      <c r="A923" s="8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8"/>
      <c r="X923" s="8"/>
      <c r="Y923" s="8"/>
      <c r="Z923" s="8"/>
      <c r="AA923" s="8"/>
    </row>
    <row r="924" ht="15.75" customHeight="1">
      <c r="A924" s="8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8"/>
      <c r="X924" s="8"/>
      <c r="Y924" s="8"/>
      <c r="Z924" s="8"/>
      <c r="AA924" s="8"/>
    </row>
    <row r="925" ht="15.75" customHeight="1">
      <c r="A925" s="8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8"/>
      <c r="X925" s="8"/>
      <c r="Y925" s="8"/>
      <c r="Z925" s="8"/>
      <c r="AA925" s="8"/>
    </row>
    <row r="926" ht="15.75" customHeight="1">
      <c r="A926" s="8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8"/>
      <c r="X926" s="8"/>
      <c r="Y926" s="8"/>
      <c r="Z926" s="8"/>
      <c r="AA926" s="8"/>
    </row>
    <row r="927" ht="15.75" customHeight="1">
      <c r="A927" s="8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8"/>
      <c r="X927" s="8"/>
      <c r="Y927" s="8"/>
      <c r="Z927" s="8"/>
      <c r="AA927" s="8"/>
    </row>
    <row r="928" ht="15.75" customHeight="1">
      <c r="A928" s="8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8"/>
      <c r="X928" s="8"/>
      <c r="Y928" s="8"/>
      <c r="Z928" s="8"/>
      <c r="AA928" s="8"/>
    </row>
    <row r="929" ht="15.75" customHeight="1">
      <c r="A929" s="8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8"/>
      <c r="X929" s="8"/>
      <c r="Y929" s="8"/>
      <c r="Z929" s="8"/>
      <c r="AA929" s="8"/>
    </row>
    <row r="930" ht="15.75" customHeight="1">
      <c r="A930" s="8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8"/>
      <c r="X930" s="8"/>
      <c r="Y930" s="8"/>
      <c r="Z930" s="8"/>
      <c r="AA930" s="8"/>
    </row>
    <row r="931" ht="15.75" customHeight="1">
      <c r="A931" s="8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8"/>
      <c r="X931" s="8"/>
      <c r="Y931" s="8"/>
      <c r="Z931" s="8"/>
      <c r="AA931" s="8"/>
    </row>
    <row r="932" ht="15.75" customHeight="1">
      <c r="A932" s="8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8"/>
      <c r="X932" s="8"/>
      <c r="Y932" s="8"/>
      <c r="Z932" s="8"/>
      <c r="AA932" s="8"/>
    </row>
    <row r="933" ht="15.75" customHeight="1">
      <c r="A933" s="8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8"/>
      <c r="X933" s="8"/>
      <c r="Y933" s="8"/>
      <c r="Z933" s="8"/>
      <c r="AA933" s="8"/>
    </row>
    <row r="934" ht="15.75" customHeight="1">
      <c r="A934" s="8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8"/>
      <c r="X934" s="8"/>
      <c r="Y934" s="8"/>
      <c r="Z934" s="8"/>
      <c r="AA934" s="8"/>
    </row>
    <row r="935" ht="15.75" customHeight="1">
      <c r="A935" s="8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8"/>
      <c r="X935" s="8"/>
      <c r="Y935" s="8"/>
      <c r="Z935" s="8"/>
      <c r="AA935" s="8"/>
    </row>
    <row r="936" ht="15.75" customHeight="1">
      <c r="A936" s="8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8"/>
      <c r="X936" s="8"/>
      <c r="Y936" s="8"/>
      <c r="Z936" s="8"/>
      <c r="AA936" s="8"/>
    </row>
    <row r="937" ht="15.75" customHeight="1">
      <c r="A937" s="8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8"/>
      <c r="X937" s="8"/>
      <c r="Y937" s="8"/>
      <c r="Z937" s="8"/>
      <c r="AA937" s="8"/>
    </row>
    <row r="938" ht="15.75" customHeight="1">
      <c r="A938" s="8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8"/>
      <c r="X938" s="8"/>
      <c r="Y938" s="8"/>
      <c r="Z938" s="8"/>
      <c r="AA938" s="8"/>
    </row>
    <row r="939" ht="15.75" customHeight="1">
      <c r="A939" s="8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8"/>
      <c r="X939" s="8"/>
      <c r="Y939" s="8"/>
      <c r="Z939" s="8"/>
      <c r="AA939" s="8"/>
    </row>
    <row r="940" ht="15.75" customHeight="1">
      <c r="A940" s="8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8"/>
      <c r="X940" s="8"/>
      <c r="Y940" s="8"/>
      <c r="Z940" s="8"/>
      <c r="AA940" s="8"/>
    </row>
    <row r="941" ht="15.75" customHeight="1">
      <c r="A941" s="8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8"/>
      <c r="X941" s="8"/>
      <c r="Y941" s="8"/>
      <c r="Z941" s="8"/>
      <c r="AA941" s="8"/>
    </row>
    <row r="942" ht="15.75" customHeight="1">
      <c r="A942" s="8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8"/>
      <c r="X942" s="8"/>
      <c r="Y942" s="8"/>
      <c r="Z942" s="8"/>
      <c r="AA942" s="8"/>
    </row>
    <row r="943" ht="15.75" customHeight="1">
      <c r="A943" s="8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8"/>
      <c r="X943" s="8"/>
      <c r="Y943" s="8"/>
      <c r="Z943" s="8"/>
      <c r="AA943" s="8"/>
    </row>
    <row r="944" ht="15.75" customHeight="1">
      <c r="A944" s="8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8"/>
      <c r="X944" s="8"/>
      <c r="Y944" s="8"/>
      <c r="Z944" s="8"/>
      <c r="AA944" s="8"/>
    </row>
    <row r="945" ht="15.75" customHeight="1">
      <c r="A945" s="8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8"/>
      <c r="X945" s="8"/>
      <c r="Y945" s="8"/>
      <c r="Z945" s="8"/>
      <c r="AA945" s="8"/>
    </row>
    <row r="946" ht="15.75" customHeight="1">
      <c r="A946" s="8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8"/>
      <c r="X946" s="8"/>
      <c r="Y946" s="8"/>
      <c r="Z946" s="8"/>
      <c r="AA946" s="8"/>
    </row>
    <row r="947" ht="15.75" customHeight="1">
      <c r="A947" s="8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8"/>
      <c r="X947" s="8"/>
      <c r="Y947" s="8"/>
      <c r="Z947" s="8"/>
      <c r="AA947" s="8"/>
    </row>
    <row r="948" ht="15.75" customHeight="1">
      <c r="A948" s="8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8"/>
      <c r="X948" s="8"/>
      <c r="Y948" s="8"/>
      <c r="Z948" s="8"/>
      <c r="AA948" s="8"/>
    </row>
    <row r="949" ht="15.75" customHeight="1">
      <c r="A949" s="8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8"/>
      <c r="X949" s="8"/>
      <c r="Y949" s="8"/>
      <c r="Z949" s="8"/>
      <c r="AA949" s="8"/>
    </row>
    <row r="950" ht="15.75" customHeight="1">
      <c r="A950" s="8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8"/>
      <c r="X950" s="8"/>
      <c r="Y950" s="8"/>
      <c r="Z950" s="8"/>
      <c r="AA950" s="8"/>
    </row>
    <row r="951" ht="15.75" customHeight="1">
      <c r="A951" s="8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8"/>
      <c r="X951" s="8"/>
      <c r="Y951" s="8"/>
      <c r="Z951" s="8"/>
      <c r="AA951" s="8"/>
    </row>
    <row r="952" ht="15.75" customHeight="1">
      <c r="A952" s="8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8"/>
      <c r="X952" s="8"/>
      <c r="Y952" s="8"/>
      <c r="Z952" s="8"/>
      <c r="AA952" s="8"/>
    </row>
    <row r="953" ht="15.75" customHeight="1">
      <c r="A953" s="8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8"/>
      <c r="X953" s="8"/>
      <c r="Y953" s="8"/>
      <c r="Z953" s="8"/>
      <c r="AA953" s="8"/>
    </row>
    <row r="954" ht="15.75" customHeight="1">
      <c r="A954" s="8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8"/>
      <c r="X954" s="8"/>
      <c r="Y954" s="8"/>
      <c r="Z954" s="8"/>
      <c r="AA954" s="8"/>
    </row>
  </sheetData>
  <mergeCells count="78">
    <mergeCell ref="C21:D21"/>
    <mergeCell ref="L22:M22"/>
    <mergeCell ref="L21:M21"/>
    <mergeCell ref="J21:K21"/>
    <mergeCell ref="E22:G22"/>
    <mergeCell ref="C22:D22"/>
    <mergeCell ref="H21:I21"/>
    <mergeCell ref="E21:G21"/>
    <mergeCell ref="C24:D24"/>
    <mergeCell ref="C23:D23"/>
    <mergeCell ref="E23:G23"/>
    <mergeCell ref="H23:I23"/>
    <mergeCell ref="J23:K23"/>
    <mergeCell ref="L23:M23"/>
    <mergeCell ref="D2:F2"/>
    <mergeCell ref="K2:M2"/>
    <mergeCell ref="N2:P2"/>
    <mergeCell ref="Q2:S2"/>
    <mergeCell ref="T2:Y2"/>
    <mergeCell ref="A17:B17"/>
    <mergeCell ref="C20:D20"/>
    <mergeCell ref="H1:J1"/>
    <mergeCell ref="L34:M34"/>
    <mergeCell ref="L30:M30"/>
    <mergeCell ref="L31:M31"/>
    <mergeCell ref="L32:M32"/>
    <mergeCell ref="L33:M33"/>
    <mergeCell ref="J25:K25"/>
    <mergeCell ref="L25:M25"/>
    <mergeCell ref="L27:M27"/>
    <mergeCell ref="J27:K27"/>
    <mergeCell ref="L26:M26"/>
    <mergeCell ref="J26:K26"/>
    <mergeCell ref="E25:G25"/>
    <mergeCell ref="C25:D25"/>
    <mergeCell ref="C26:D26"/>
    <mergeCell ref="H26:I26"/>
    <mergeCell ref="H27:I27"/>
    <mergeCell ref="E27:G27"/>
    <mergeCell ref="E26:G26"/>
    <mergeCell ref="C39:D39"/>
    <mergeCell ref="C40:D40"/>
    <mergeCell ref="E38:G38"/>
    <mergeCell ref="E39:G39"/>
    <mergeCell ref="E40:G40"/>
    <mergeCell ref="H38:I38"/>
    <mergeCell ref="H39:I39"/>
    <mergeCell ref="H40:I40"/>
    <mergeCell ref="H41:I41"/>
    <mergeCell ref="C45:D45"/>
    <mergeCell ref="C46:D46"/>
    <mergeCell ref="E45:G45"/>
    <mergeCell ref="E46:G46"/>
    <mergeCell ref="H46:I46"/>
    <mergeCell ref="J24:K24"/>
    <mergeCell ref="H24:I24"/>
    <mergeCell ref="L24:M24"/>
    <mergeCell ref="E24:G24"/>
    <mergeCell ref="H25:I25"/>
    <mergeCell ref="J22:K22"/>
    <mergeCell ref="H22:I22"/>
    <mergeCell ref="L20:M20"/>
    <mergeCell ref="J20:K20"/>
    <mergeCell ref="H20:I20"/>
    <mergeCell ref="E20:G20"/>
    <mergeCell ref="E29:K29"/>
    <mergeCell ref="E30:K30"/>
    <mergeCell ref="E31:K31"/>
    <mergeCell ref="E32:K32"/>
    <mergeCell ref="E33:K33"/>
    <mergeCell ref="L28:M28"/>
    <mergeCell ref="C27:D27"/>
    <mergeCell ref="C29:D29"/>
    <mergeCell ref="C30:D30"/>
    <mergeCell ref="C31:D31"/>
    <mergeCell ref="C32:D32"/>
    <mergeCell ref="C33:D33"/>
    <mergeCell ref="C38:D38"/>
  </mergeCells>
  <dataValidations>
    <dataValidation type="custom" allowBlank="1" showDropDown="1" sqref="C4:F16 I4:M16 Q4:Y16">
      <formula1>AND(ISNUMBER(C4),(NOT(OR(NOT(ISERROR(DATEVALUE(C4))), AND(ISNUMBER(C4), LEFT(CELL("format", C4))="D")))))</formula1>
    </dataValidation>
  </dataValidations>
  <printOptions/>
  <pageMargins bottom="1.0" footer="0.0" header="0.0" left="0.75" right="0.75" top="1.0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0"/>
    <col customWidth="1" min="5" max="5" width="23.0"/>
  </cols>
  <sheetData>
    <row r="1">
      <c r="A1" s="93" t="s">
        <v>106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>
      <c r="A2" s="94"/>
      <c r="B2" s="94" t="s">
        <v>77</v>
      </c>
      <c r="C2" s="95" t="s">
        <v>67</v>
      </c>
      <c r="D2" s="96" t="s">
        <v>107</v>
      </c>
      <c r="E2" s="96"/>
      <c r="F2" s="94"/>
      <c r="G2" s="96" t="s">
        <v>70</v>
      </c>
      <c r="H2" s="96" t="s">
        <v>108</v>
      </c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>
      <c r="A3" s="94"/>
      <c r="B3" s="94"/>
      <c r="C3" s="95" t="s">
        <v>68</v>
      </c>
      <c r="D3" s="96" t="s">
        <v>109</v>
      </c>
      <c r="E3" s="94"/>
      <c r="F3" s="94"/>
      <c r="G3" s="96" t="s">
        <v>110</v>
      </c>
      <c r="H3" s="96" t="s">
        <v>111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</row>
    <row r="4">
      <c r="A4" s="94"/>
      <c r="B4" s="94"/>
      <c r="C4" s="95" t="s">
        <v>69</v>
      </c>
      <c r="D4" s="96" t="s">
        <v>109</v>
      </c>
      <c r="E4" s="94"/>
      <c r="F4" s="94"/>
      <c r="G4" s="96" t="s">
        <v>112</v>
      </c>
      <c r="H4" s="96" t="s">
        <v>113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</row>
    <row r="5">
      <c r="A5" s="94"/>
      <c r="B5" s="94"/>
      <c r="C5" s="94"/>
      <c r="D5" s="94"/>
      <c r="E5" s="94"/>
      <c r="F5" s="94"/>
      <c r="G5" s="96" t="s">
        <v>73</v>
      </c>
      <c r="H5" s="96" t="s">
        <v>114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</row>
    <row r="6">
      <c r="A6" s="94"/>
      <c r="B6" s="96" t="s">
        <v>80</v>
      </c>
      <c r="C6" s="95" t="s">
        <v>67</v>
      </c>
      <c r="D6" s="96" t="s">
        <v>115</v>
      </c>
      <c r="E6" s="94"/>
      <c r="F6" s="94"/>
      <c r="G6" s="96" t="s">
        <v>74</v>
      </c>
      <c r="H6" s="96" t="s">
        <v>116</v>
      </c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</row>
    <row r="7">
      <c r="A7" s="94"/>
      <c r="B7" s="94"/>
      <c r="C7" s="95" t="s">
        <v>68</v>
      </c>
      <c r="D7" s="96" t="s">
        <v>117</v>
      </c>
      <c r="E7" s="94"/>
      <c r="F7" s="94"/>
      <c r="G7" s="96" t="s">
        <v>75</v>
      </c>
      <c r="H7" s="96" t="s">
        <v>118</v>
      </c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</row>
    <row r="8">
      <c r="A8" s="94"/>
      <c r="B8" s="94"/>
      <c r="C8" s="95" t="s">
        <v>69</v>
      </c>
      <c r="D8" s="96" t="s">
        <v>119</v>
      </c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</row>
    <row r="9">
      <c r="A9" s="9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</row>
    <row r="10">
      <c r="A10" s="94"/>
      <c r="B10" s="96" t="s">
        <v>120</v>
      </c>
      <c r="C10" s="95" t="s">
        <v>67</v>
      </c>
      <c r="D10" s="96" t="s">
        <v>121</v>
      </c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</row>
    <row r="11">
      <c r="A11" s="94"/>
      <c r="B11" s="94"/>
      <c r="C11" s="95" t="s">
        <v>68</v>
      </c>
      <c r="D11" s="96" t="s">
        <v>121</v>
      </c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>
      <c r="A12" s="94"/>
      <c r="B12" s="94"/>
      <c r="C12" s="95" t="s">
        <v>69</v>
      </c>
      <c r="D12" s="96" t="s">
        <v>121</v>
      </c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</row>
    <row r="13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</row>
    <row r="15">
      <c r="A15" s="93" t="s">
        <v>122</v>
      </c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</row>
    <row r="17">
      <c r="A17" s="97" t="s">
        <v>94</v>
      </c>
      <c r="B17" s="94"/>
      <c r="C17" s="96" t="s">
        <v>123</v>
      </c>
      <c r="D17" s="94"/>
      <c r="E17" s="94"/>
      <c r="F17" s="94"/>
      <c r="G17" s="94"/>
      <c r="H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</row>
    <row r="18">
      <c r="A18" s="97" t="s">
        <v>124</v>
      </c>
      <c r="B18" s="98">
        <v>100.0</v>
      </c>
      <c r="C18" s="96" t="s">
        <v>125</v>
      </c>
      <c r="D18" s="94"/>
      <c r="E18" s="94"/>
      <c r="F18" s="94"/>
      <c r="G18" s="94"/>
      <c r="H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</row>
    <row r="19">
      <c r="A19" s="97" t="s">
        <v>126</v>
      </c>
      <c r="B19" s="98">
        <v>1.46E-5</v>
      </c>
      <c r="C19" s="96" t="s">
        <v>127</v>
      </c>
      <c r="D19" s="94"/>
      <c r="E19" s="94"/>
      <c r="F19" s="94"/>
      <c r="G19" s="94"/>
      <c r="H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</row>
    <row r="20">
      <c r="A20" s="96" t="s">
        <v>128</v>
      </c>
      <c r="B20" s="98">
        <v>0.25</v>
      </c>
      <c r="C20" s="96" t="s">
        <v>129</v>
      </c>
      <c r="D20" s="94"/>
      <c r="E20" s="94"/>
      <c r="F20" s="94"/>
      <c r="G20" s="94"/>
      <c r="H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</row>
    <row r="21">
      <c r="A21" s="96" t="s">
        <v>130</v>
      </c>
      <c r="B21" s="98">
        <v>1.2</v>
      </c>
      <c r="C21" s="93" t="s">
        <v>131</v>
      </c>
      <c r="H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</row>
    <row r="22">
      <c r="A22" s="94"/>
      <c r="B22" s="98">
        <v>0.3</v>
      </c>
      <c r="C22" s="96" t="s">
        <v>132</v>
      </c>
      <c r="H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</row>
    <row r="23">
      <c r="A23" s="94"/>
      <c r="B23" s="94"/>
      <c r="C23" s="96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</row>
    <row r="24">
      <c r="A24" s="94"/>
      <c r="B24" s="94"/>
      <c r="C24" s="96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</row>
    <row r="25">
      <c r="A25" s="94"/>
      <c r="B25" s="94"/>
      <c r="C25" s="94"/>
      <c r="D25" s="94"/>
      <c r="E25" s="94"/>
      <c r="F25" s="96"/>
      <c r="G25" s="96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</row>
    <row r="26">
      <c r="A26" s="94"/>
      <c r="B26" s="96"/>
      <c r="C26" s="99" t="s">
        <v>92</v>
      </c>
      <c r="D26" s="99" t="s">
        <v>94</v>
      </c>
      <c r="E26" s="96"/>
      <c r="F26" s="96"/>
      <c r="G26" s="96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</row>
    <row r="27">
      <c r="A27" s="94"/>
      <c r="B27" s="96" t="s">
        <v>77</v>
      </c>
      <c r="C27" s="96" t="s">
        <v>133</v>
      </c>
      <c r="D27" s="96" t="s">
        <v>134</v>
      </c>
      <c r="E27" s="96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</row>
    <row r="28">
      <c r="A28" s="94"/>
      <c r="B28" s="96" t="s">
        <v>80</v>
      </c>
      <c r="C28" s="96" t="s">
        <v>135</v>
      </c>
      <c r="D28" s="96" t="s">
        <v>136</v>
      </c>
      <c r="E28" s="96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94"/>
      <c r="C29" s="99" t="s">
        <v>98</v>
      </c>
      <c r="D29" s="96"/>
      <c r="E29" s="96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</row>
    <row r="30">
      <c r="A30" s="94"/>
      <c r="B30" s="96" t="s">
        <v>137</v>
      </c>
      <c r="C30" s="96" t="s">
        <v>138</v>
      </c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</row>
    <row r="31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</row>
    <row r="32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</row>
    <row r="33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</row>
    <row r="34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</row>
    <row r="35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</row>
    <row r="37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</row>
    <row r="38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</row>
    <row r="39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</row>
    <row r="40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</row>
    <row r="4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</row>
    <row r="42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</row>
    <row r="43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</row>
    <row r="4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</row>
    <row r="46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</row>
    <row r="47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</row>
    <row r="48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</row>
    <row r="49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</row>
    <row r="50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</row>
    <row r="5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</row>
    <row r="52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</row>
    <row r="5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</row>
    <row r="5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</row>
    <row r="56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</row>
    <row r="57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</row>
    <row r="58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</row>
    <row r="59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</row>
    <row r="60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</row>
    <row r="6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</row>
    <row r="62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</row>
    <row r="63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</row>
    <row r="6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</row>
    <row r="6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</row>
    <row r="66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</row>
    <row r="67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</row>
    <row r="68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</row>
    <row r="69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</row>
    <row r="70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</row>
    <row r="7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</row>
    <row r="72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</row>
    <row r="73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</row>
    <row r="7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</row>
    <row r="7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</row>
    <row r="76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</row>
    <row r="77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</row>
    <row r="78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</row>
    <row r="80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</row>
    <row r="8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</row>
    <row r="82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</row>
    <row r="8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</row>
    <row r="8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</row>
    <row r="87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</row>
    <row r="88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</row>
    <row r="89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</row>
    <row r="92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</row>
    <row r="93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</row>
    <row r="9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</row>
    <row r="9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</row>
    <row r="96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</row>
    <row r="97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</row>
    <row r="98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</row>
    <row r="99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</row>
    <row r="100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</row>
    <row r="10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</row>
    <row r="102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</row>
    <row r="103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</row>
    <row r="10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</row>
    <row r="10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</row>
    <row r="106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</row>
    <row r="107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</row>
    <row r="108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</row>
    <row r="109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</row>
    <row r="110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</row>
    <row r="177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</row>
    <row r="178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</row>
    <row r="179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</row>
    <row r="180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</row>
    <row r="18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</row>
    <row r="182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</row>
    <row r="183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</row>
    <row r="18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</row>
    <row r="185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</row>
    <row r="186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</row>
    <row r="187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</row>
    <row r="188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</row>
    <row r="189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</row>
    <row r="190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</row>
    <row r="19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</row>
    <row r="192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</row>
    <row r="193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</row>
    <row r="19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</row>
    <row r="195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</row>
    <row r="196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</row>
    <row r="197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</row>
    <row r="198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</row>
    <row r="199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</row>
    <row r="200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</row>
    <row r="20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>
      <c r="A984" s="94"/>
      <c r="B984" s="94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>
      <c r="A985" s="94"/>
      <c r="B985" s="94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>
      <c r="A986" s="94"/>
      <c r="B986" s="94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>
      <c r="A987" s="94"/>
      <c r="B987" s="94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>
      <c r="A988" s="94"/>
      <c r="B988" s="94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>
      <c r="A989" s="94"/>
      <c r="B989" s="94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>
      <c r="A990" s="94"/>
      <c r="B990" s="94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>
      <c r="A991" s="94"/>
      <c r="B991" s="94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>
      <c r="A992" s="94"/>
      <c r="B992" s="94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>
      <c r="A993" s="94"/>
      <c r="B993" s="94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>
      <c r="A994" s="94"/>
      <c r="B994" s="94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>
      <c r="A995" s="94"/>
      <c r="B995" s="94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Row="1"/>
  <cols>
    <col customWidth="1" min="1" max="1" width="2.71"/>
    <col customWidth="1" min="2" max="2" width="3.57"/>
    <col customWidth="1" min="3" max="3" width="3.86"/>
    <col customWidth="1" min="4" max="4" width="10.71"/>
    <col customWidth="1" min="5" max="5" width="11.14"/>
    <col customWidth="1" min="6" max="6" width="12.43"/>
    <col customWidth="1" min="7" max="7" width="12.57"/>
  </cols>
  <sheetData>
    <row r="1">
      <c r="A1" s="94"/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>
      <c r="A2" s="94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>
      <c r="A3" s="96" t="s">
        <v>139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</row>
    <row r="4" outlineLevel="1">
      <c r="A4" s="94"/>
      <c r="B4" s="96" t="s">
        <v>140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</row>
    <row r="5" outlineLevel="1">
      <c r="A5" s="94"/>
      <c r="B5" s="96" t="s">
        <v>141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</row>
    <row r="6" outlineLevel="1">
      <c r="A6" s="94"/>
      <c r="B6" s="94"/>
      <c r="C6" s="96" t="s">
        <v>142</v>
      </c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</row>
    <row r="7" outlineLevel="1">
      <c r="A7" s="94"/>
      <c r="B7" s="94"/>
      <c r="C7" s="96" t="s">
        <v>143</v>
      </c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</row>
    <row r="8" outlineLevel="1">
      <c r="A8" s="94"/>
      <c r="B8" s="94"/>
      <c r="C8" s="94"/>
      <c r="D8" s="100">
        <v>0.0</v>
      </c>
      <c r="E8" s="100">
        <v>1.2</v>
      </c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</row>
    <row r="9" outlineLevel="1">
      <c r="A9" s="94"/>
      <c r="B9" s="94"/>
      <c r="C9" s="94"/>
      <c r="D9" s="100">
        <v>0.5</v>
      </c>
      <c r="E9" s="100">
        <v>1.1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</row>
    <row r="10" outlineLevel="1">
      <c r="A10" s="94"/>
      <c r="B10" s="94"/>
      <c r="C10" s="94"/>
      <c r="D10" s="100">
        <v>0.75</v>
      </c>
      <c r="E10" s="100">
        <v>1.05</v>
      </c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</row>
    <row r="11" outlineLevel="1">
      <c r="A11" s="94"/>
      <c r="B11" s="94"/>
      <c r="C11" s="94"/>
      <c r="D11" s="100">
        <v>1.0</v>
      </c>
      <c r="E11" s="100">
        <v>1.0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outlineLevel="1">
      <c r="A12" s="94"/>
      <c r="B12" s="94"/>
      <c r="C12" s="96" t="s">
        <v>144</v>
      </c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</row>
    <row r="13" outlineLevel="1">
      <c r="A13" s="94"/>
      <c r="B13" s="96" t="s">
        <v>145</v>
      </c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</row>
    <row r="14" outlineLevel="1">
      <c r="A14" s="96" t="s">
        <v>146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</row>
    <row r="15">
      <c r="A15" s="93" t="s">
        <v>147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</row>
    <row r="16">
      <c r="A16" s="94"/>
      <c r="B16" s="96" t="s">
        <v>148</v>
      </c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</row>
    <row r="17" outlineLevel="1">
      <c r="A17" s="94"/>
      <c r="B17" s="94"/>
      <c r="C17" s="96" t="s">
        <v>149</v>
      </c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</row>
    <row r="18" outlineLevel="1">
      <c r="A18" s="94"/>
      <c r="B18" s="94"/>
      <c r="C18" s="96" t="s">
        <v>150</v>
      </c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</row>
    <row r="19" outlineLevel="1">
      <c r="A19" s="94"/>
      <c r="B19" s="94"/>
      <c r="C19" s="94"/>
      <c r="D19" s="96" t="s">
        <v>151</v>
      </c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</row>
    <row r="20" outlineLevel="1">
      <c r="A20" s="94"/>
      <c r="B20" s="94"/>
      <c r="C20" s="94"/>
      <c r="D20" s="96" t="s">
        <v>152</v>
      </c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</row>
    <row r="21" outlineLevel="1">
      <c r="A21" s="94"/>
      <c r="B21" s="94"/>
      <c r="C21" s="94"/>
      <c r="D21" s="96" t="s">
        <v>153</v>
      </c>
      <c r="E21" s="102">
        <f>Calculation!L34</f>
        <v>0.04268870941</v>
      </c>
      <c r="F21" s="96" t="s">
        <v>154</v>
      </c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</row>
    <row r="22" outlineLevel="1">
      <c r="A22" s="94"/>
      <c r="B22" s="94"/>
      <c r="C22" s="96" t="s">
        <v>155</v>
      </c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</row>
    <row r="23" outlineLevel="1">
      <c r="A23" s="94"/>
      <c r="B23" s="96" t="s">
        <v>146</v>
      </c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</row>
    <row r="24">
      <c r="A24" s="94"/>
      <c r="B24" s="96" t="s">
        <v>156</v>
      </c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</row>
    <row r="25" outlineLevel="1">
      <c r="A25" s="94"/>
      <c r="B25" s="94"/>
      <c r="C25" s="96" t="s">
        <v>157</v>
      </c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</row>
    <row r="26" outlineLevel="1">
      <c r="B26" s="94"/>
      <c r="C26" s="96" t="s">
        <v>150</v>
      </c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</row>
    <row r="27" outlineLevel="1">
      <c r="B27" s="94"/>
      <c r="C27" s="94"/>
      <c r="D27" s="96" t="s">
        <v>151</v>
      </c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</row>
    <row r="28" outlineLevel="1">
      <c r="B28" s="94"/>
      <c r="C28" s="94"/>
      <c r="D28" s="96" t="s">
        <v>152</v>
      </c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 outlineLevel="1">
      <c r="B29" s="94"/>
      <c r="C29" s="94"/>
      <c r="D29" s="96" t="s">
        <v>141</v>
      </c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</row>
    <row r="30" outlineLevel="1">
      <c r="B30" s="94"/>
      <c r="C30" s="94"/>
      <c r="D30" s="94"/>
      <c r="E30" s="96" t="s">
        <v>158</v>
      </c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</row>
    <row r="31" outlineLevel="1">
      <c r="B31" s="94"/>
      <c r="C31" s="94"/>
      <c r="D31" s="94"/>
      <c r="E31" s="96" t="s">
        <v>143</v>
      </c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</row>
    <row r="32" outlineLevel="1">
      <c r="B32" s="94"/>
      <c r="C32" s="94"/>
      <c r="D32" s="94"/>
      <c r="E32" s="94"/>
      <c r="F32" s="100">
        <v>-0.09</v>
      </c>
      <c r="G32" s="102">
        <f t="shared" ref="G32:G42" si="1">0.0924 * POWER( (0.307 + G126), 2)</f>
        <v>0.00447216</v>
      </c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</row>
    <row r="33" outlineLevel="1">
      <c r="B33" s="94"/>
      <c r="C33" s="94"/>
      <c r="D33" s="94"/>
      <c r="E33" s="94"/>
      <c r="F33" s="100">
        <v>0.0</v>
      </c>
      <c r="G33" s="102">
        <f t="shared" si="1"/>
        <v>0.005775</v>
      </c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</row>
    <row r="34" outlineLevel="1">
      <c r="A34" s="96"/>
      <c r="B34" s="96"/>
      <c r="C34" s="94"/>
      <c r="D34" s="94"/>
      <c r="E34" s="94"/>
      <c r="F34" s="100">
        <v>0.14</v>
      </c>
      <c r="G34" s="102">
        <f t="shared" si="1"/>
        <v>0.09613296</v>
      </c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</row>
    <row r="35" outlineLevel="1">
      <c r="A35" s="96"/>
      <c r="B35" s="96"/>
      <c r="C35" s="94"/>
      <c r="D35" s="94"/>
      <c r="E35" s="94"/>
      <c r="F35" s="100">
        <v>0.21</v>
      </c>
      <c r="G35" s="102">
        <f t="shared" si="1"/>
        <v>0.1448373696</v>
      </c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</row>
    <row r="36" outlineLevel="1">
      <c r="A36" s="96"/>
      <c r="B36" s="96"/>
      <c r="C36" s="94"/>
      <c r="D36" s="94"/>
      <c r="E36" s="94"/>
      <c r="F36" s="100">
        <v>0.24</v>
      </c>
      <c r="G36" s="102">
        <f t="shared" si="1"/>
        <v>0.1693983984</v>
      </c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</row>
    <row r="37" outlineLevel="1">
      <c r="A37" s="96"/>
      <c r="B37" s="96"/>
      <c r="C37" s="94"/>
      <c r="D37" s="94"/>
      <c r="E37" s="94"/>
      <c r="F37" s="100">
        <v>0.26</v>
      </c>
      <c r="G37" s="102">
        <f t="shared" si="1"/>
        <v>0.19160064</v>
      </c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</row>
    <row r="38" outlineLevel="1">
      <c r="A38" s="96"/>
      <c r="B38" s="96"/>
      <c r="C38" s="94"/>
      <c r="D38" s="94"/>
      <c r="E38" s="94"/>
      <c r="F38" s="100">
        <v>0.28</v>
      </c>
      <c r="G38" s="102">
        <f t="shared" si="1"/>
        <v>0.1985820144</v>
      </c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</row>
    <row r="39" outlineLevel="1">
      <c r="A39" s="96"/>
      <c r="B39" s="96"/>
      <c r="C39" s="94"/>
      <c r="D39" s="94"/>
      <c r="E39" s="94"/>
      <c r="F39" s="100">
        <v>0.3</v>
      </c>
      <c r="G39" s="102">
        <f t="shared" si="1"/>
        <v>0.1894776576</v>
      </c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</row>
    <row r="40" outlineLevel="1">
      <c r="A40" s="96"/>
      <c r="B40" s="96"/>
      <c r="C40" s="94"/>
      <c r="D40" s="94"/>
      <c r="E40" s="94"/>
      <c r="F40" s="100">
        <v>0.32</v>
      </c>
      <c r="G40" s="102">
        <f t="shared" si="1"/>
        <v>0.1762216764</v>
      </c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</row>
    <row r="41" outlineLevel="1">
      <c r="A41" s="96"/>
      <c r="B41" s="96"/>
      <c r="C41" s="94"/>
      <c r="D41" s="94"/>
      <c r="E41" s="94"/>
      <c r="F41" s="100">
        <v>0.34</v>
      </c>
      <c r="G41" s="102">
        <f t="shared" si="1"/>
        <v>0.1556758896</v>
      </c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</row>
    <row r="42" outlineLevel="1">
      <c r="A42" s="96"/>
      <c r="B42" s="96"/>
      <c r="C42" s="94"/>
      <c r="D42" s="94"/>
      <c r="E42" s="94"/>
      <c r="F42" s="100">
        <v>0.36</v>
      </c>
      <c r="G42" s="102">
        <f t="shared" si="1"/>
        <v>0.08693916</v>
      </c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</row>
    <row r="43" outlineLevel="1">
      <c r="A43" s="96"/>
      <c r="B43" s="96"/>
      <c r="C43" s="94"/>
      <c r="D43" s="94"/>
      <c r="E43" s="96" t="s">
        <v>144</v>
      </c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</row>
    <row r="44" outlineLevel="1">
      <c r="A44" s="96"/>
      <c r="B44" s="96"/>
      <c r="C44" s="94"/>
      <c r="D44" s="96" t="s">
        <v>145</v>
      </c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</row>
    <row r="45" outlineLevel="1">
      <c r="B45" s="94"/>
      <c r="C45" s="96" t="s">
        <v>155</v>
      </c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</row>
    <row r="46" outlineLevel="1">
      <c r="B46" s="96" t="s">
        <v>146</v>
      </c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</row>
    <row r="47">
      <c r="B47" s="96" t="s">
        <v>159</v>
      </c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</row>
    <row r="48" outlineLevel="1">
      <c r="B48" s="94"/>
      <c r="C48" s="96" t="s">
        <v>160</v>
      </c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</row>
    <row r="49" outlineLevel="1">
      <c r="A49" s="94"/>
      <c r="B49" s="94"/>
      <c r="C49" s="96" t="s">
        <v>150</v>
      </c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</row>
    <row r="50" outlineLevel="1">
      <c r="B50" s="94"/>
      <c r="C50" s="94"/>
      <c r="D50" s="96" t="s">
        <v>151</v>
      </c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</row>
    <row r="51" outlineLevel="1">
      <c r="B51" s="94"/>
      <c r="C51" s="94"/>
      <c r="D51" s="96" t="s">
        <v>152</v>
      </c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</row>
    <row r="52" outlineLevel="1">
      <c r="B52" s="94"/>
      <c r="C52" s="94"/>
      <c r="D52" s="96" t="s">
        <v>161</v>
      </c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 outlineLevel="1">
      <c r="B53" s="94"/>
      <c r="C53" s="94"/>
      <c r="D53" s="96" t="s">
        <v>153</v>
      </c>
      <c r="E53" s="102">
        <f>Calculation!H41</f>
        <v>0.1714285714</v>
      </c>
      <c r="F53" s="96" t="s">
        <v>154</v>
      </c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</row>
    <row r="54" outlineLevel="1">
      <c r="B54" s="94"/>
      <c r="C54" s="96" t="s">
        <v>155</v>
      </c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</row>
    <row r="55" outlineLevel="1">
      <c r="B55" s="96" t="s">
        <v>146</v>
      </c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</row>
    <row r="56">
      <c r="B56" s="96" t="s">
        <v>162</v>
      </c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</row>
    <row r="57" outlineLevel="1">
      <c r="B57" s="94"/>
      <c r="C57" s="96" t="s">
        <v>163</v>
      </c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</row>
    <row r="58" outlineLevel="1">
      <c r="B58" s="94"/>
      <c r="C58" s="96" t="s">
        <v>150</v>
      </c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</row>
    <row r="59" outlineLevel="1">
      <c r="A59" s="94"/>
      <c r="B59" s="94"/>
      <c r="C59" s="94"/>
      <c r="D59" s="96" t="s">
        <v>151</v>
      </c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</row>
    <row r="60" outlineLevel="1">
      <c r="B60" s="94"/>
      <c r="C60" s="94"/>
      <c r="D60" s="96" t="s">
        <v>152</v>
      </c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</row>
    <row r="61" outlineLevel="1">
      <c r="B61" s="94"/>
      <c r="C61" s="94"/>
      <c r="D61" s="96" t="s">
        <v>141</v>
      </c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</row>
    <row r="62" outlineLevel="1">
      <c r="B62" s="94"/>
      <c r="C62" s="94"/>
      <c r="D62" s="94"/>
      <c r="E62" s="96" t="s">
        <v>164</v>
      </c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</row>
    <row r="63" outlineLevel="1">
      <c r="B63" s="94"/>
      <c r="C63" s="94"/>
      <c r="D63" s="94"/>
      <c r="E63" s="96" t="s">
        <v>165</v>
      </c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</row>
    <row r="64" outlineLevel="1">
      <c r="B64" s="94"/>
      <c r="C64" s="94"/>
      <c r="D64" s="94"/>
      <c r="E64" s="96" t="s">
        <v>143</v>
      </c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</row>
    <row r="65" outlineLevel="1">
      <c r="B65" s="94"/>
      <c r="C65" s="94"/>
      <c r="D65" s="94"/>
      <c r="E65" s="94"/>
      <c r="G65" s="100">
        <v>0.0</v>
      </c>
      <c r="H65" s="100">
        <v>10.0</v>
      </c>
      <c r="I65" s="100">
        <v>20.0</v>
      </c>
      <c r="J65" s="100">
        <v>30.0</v>
      </c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</row>
    <row r="66" outlineLevel="1">
      <c r="B66" s="94"/>
      <c r="C66" s="94"/>
      <c r="D66" s="94"/>
      <c r="E66" s="94"/>
      <c r="F66" s="100">
        <v>-0.0873</v>
      </c>
      <c r="G66" s="100">
        <v>0.0</v>
      </c>
      <c r="H66" s="100">
        <v>0.003</v>
      </c>
      <c r="I66" s="100">
        <v>0.0084</v>
      </c>
      <c r="J66" s="100">
        <v>0.0153</v>
      </c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</row>
    <row r="67" outlineLevel="1">
      <c r="B67" s="94"/>
      <c r="C67" s="94"/>
      <c r="D67" s="94"/>
      <c r="E67" s="94"/>
      <c r="F67" s="100">
        <v>-0.0698</v>
      </c>
      <c r="G67" s="100">
        <v>0.0</v>
      </c>
      <c r="H67" s="100">
        <v>0.0061</v>
      </c>
      <c r="I67" s="100">
        <v>0.0131</v>
      </c>
      <c r="J67" s="100">
        <v>0.0208</v>
      </c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</row>
    <row r="68" outlineLevel="1">
      <c r="B68" s="94"/>
      <c r="C68" s="94"/>
      <c r="D68" s="94"/>
      <c r="E68" s="94"/>
      <c r="F68" s="100">
        <v>-0.0524</v>
      </c>
      <c r="G68" s="100">
        <v>0.0</v>
      </c>
      <c r="H68" s="100">
        <v>0.0092</v>
      </c>
      <c r="I68" s="100">
        <v>0.0178</v>
      </c>
      <c r="J68" s="100">
        <v>0.0263</v>
      </c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</row>
    <row r="69" outlineLevel="1">
      <c r="A69" s="96"/>
      <c r="B69" s="96"/>
      <c r="C69" s="96"/>
      <c r="D69" s="96"/>
      <c r="E69" s="94"/>
      <c r="F69" s="100">
        <v>-0.0349</v>
      </c>
      <c r="G69" s="100">
        <v>0.0</v>
      </c>
      <c r="H69" s="100">
        <v>0.0124</v>
      </c>
      <c r="I69" s="100">
        <v>0.0225</v>
      </c>
      <c r="J69" s="100">
        <v>0.0317</v>
      </c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</row>
    <row r="70" outlineLevel="1">
      <c r="A70" s="96"/>
      <c r="B70" s="96"/>
      <c r="C70" s="96"/>
      <c r="D70" s="96"/>
      <c r="E70" s="96"/>
      <c r="F70" s="100">
        <v>-0.0175</v>
      </c>
      <c r="G70" s="100">
        <v>0.0</v>
      </c>
      <c r="H70" s="100">
        <v>0.0155</v>
      </c>
      <c r="I70" s="100">
        <v>0.0272</v>
      </c>
      <c r="J70" s="100">
        <v>0.0372</v>
      </c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</row>
    <row r="71" outlineLevel="1">
      <c r="A71" s="96"/>
      <c r="B71" s="96"/>
      <c r="C71" s="96"/>
      <c r="D71" s="96"/>
      <c r="E71" s="96"/>
      <c r="F71" s="100">
        <v>0.0</v>
      </c>
      <c r="G71" s="100">
        <v>0.0</v>
      </c>
      <c r="H71" s="100">
        <v>0.0186</v>
      </c>
      <c r="I71" s="100">
        <v>0.0319</v>
      </c>
      <c r="J71" s="100">
        <v>0.0427</v>
      </c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</row>
    <row r="72" outlineLevel="1">
      <c r="A72" s="96"/>
      <c r="B72" s="96"/>
      <c r="C72" s="96"/>
      <c r="D72" s="96"/>
      <c r="E72" s="96"/>
      <c r="F72" s="100">
        <v>0.0175</v>
      </c>
      <c r="G72" s="100">
        <v>0.0</v>
      </c>
      <c r="H72" s="100">
        <v>0.0218</v>
      </c>
      <c r="I72" s="100">
        <v>0.0367</v>
      </c>
      <c r="J72" s="100">
        <v>0.0483</v>
      </c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</row>
    <row r="73" outlineLevel="1">
      <c r="A73" s="96"/>
      <c r="B73" s="96"/>
      <c r="C73" s="96"/>
      <c r="D73" s="96"/>
      <c r="E73" s="96"/>
      <c r="F73" s="100">
        <v>0.0349</v>
      </c>
      <c r="G73" s="100">
        <v>0.0</v>
      </c>
      <c r="H73" s="100">
        <v>0.025</v>
      </c>
      <c r="I73" s="100">
        <v>0.0415</v>
      </c>
      <c r="J73" s="100">
        <v>0.0539</v>
      </c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</row>
    <row r="74" outlineLevel="1">
      <c r="A74" s="96"/>
      <c r="B74" s="96"/>
      <c r="C74" s="96"/>
      <c r="D74" s="96"/>
      <c r="E74" s="96"/>
      <c r="F74" s="100">
        <v>0.0524</v>
      </c>
      <c r="G74" s="100">
        <v>0.0</v>
      </c>
      <c r="H74" s="100">
        <v>0.0282</v>
      </c>
      <c r="I74" s="100">
        <v>0.0463</v>
      </c>
      <c r="J74" s="100">
        <v>0.0594</v>
      </c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</row>
    <row r="75" outlineLevel="1">
      <c r="A75" s="96"/>
      <c r="B75" s="96"/>
      <c r="C75" s="96"/>
      <c r="D75" s="96"/>
      <c r="E75" s="96"/>
      <c r="F75" s="100">
        <v>0.0698</v>
      </c>
      <c r="G75" s="100">
        <v>0.0</v>
      </c>
      <c r="H75" s="100">
        <v>0.0314</v>
      </c>
      <c r="I75" s="100">
        <v>0.0511</v>
      </c>
      <c r="J75" s="100">
        <v>0.065</v>
      </c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</row>
    <row r="76" outlineLevel="1">
      <c r="A76" s="96"/>
      <c r="B76" s="96"/>
      <c r="C76" s="96"/>
      <c r="D76" s="96"/>
      <c r="E76" s="96"/>
      <c r="F76" s="100">
        <v>0.0873</v>
      </c>
      <c r="G76" s="100">
        <v>0.0</v>
      </c>
      <c r="H76" s="100">
        <v>0.0346</v>
      </c>
      <c r="I76" s="100">
        <v>0.0558</v>
      </c>
      <c r="J76" s="100">
        <v>0.0706</v>
      </c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</row>
    <row r="77" outlineLevel="1">
      <c r="A77" s="96"/>
      <c r="B77" s="96"/>
      <c r="C77" s="96"/>
      <c r="D77" s="96"/>
      <c r="E77" s="96"/>
      <c r="F77" s="100">
        <v>0.1047</v>
      </c>
      <c r="G77" s="100">
        <v>0.0</v>
      </c>
      <c r="H77" s="100">
        <v>0.0378</v>
      </c>
      <c r="I77" s="100">
        <v>0.0606</v>
      </c>
      <c r="J77" s="100">
        <v>0.0762</v>
      </c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</row>
    <row r="78" outlineLevel="1">
      <c r="A78" s="96"/>
      <c r="B78" s="96"/>
      <c r="C78" s="96"/>
      <c r="D78" s="96"/>
      <c r="E78" s="96"/>
      <c r="F78" s="100">
        <v>0.1222</v>
      </c>
      <c r="G78" s="100">
        <v>0.0</v>
      </c>
      <c r="H78" s="100">
        <v>0.0409</v>
      </c>
      <c r="I78" s="100">
        <v>0.0654</v>
      </c>
      <c r="J78" s="100">
        <v>0.0818</v>
      </c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 outlineLevel="1">
      <c r="A79" s="96"/>
      <c r="B79" s="96"/>
      <c r="C79" s="96"/>
      <c r="D79" s="96"/>
      <c r="E79" s="96"/>
      <c r="F79" s="100">
        <v>0.1396</v>
      </c>
      <c r="G79" s="100">
        <v>0.0</v>
      </c>
      <c r="H79" s="100">
        <v>0.0441</v>
      </c>
      <c r="I79" s="100">
        <v>0.0702</v>
      </c>
      <c r="J79" s="100">
        <v>0.0873</v>
      </c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</row>
    <row r="80" outlineLevel="1">
      <c r="A80" s="96"/>
      <c r="B80" s="96"/>
      <c r="C80" s="96"/>
      <c r="D80" s="96"/>
      <c r="E80" s="96"/>
      <c r="F80" s="100">
        <v>0.1571</v>
      </c>
      <c r="G80" s="100">
        <v>0.0</v>
      </c>
      <c r="H80" s="100">
        <v>0.0461</v>
      </c>
      <c r="I80" s="100">
        <v>0.0731</v>
      </c>
      <c r="J80" s="100">
        <v>0.0907</v>
      </c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</row>
    <row r="81" outlineLevel="1">
      <c r="A81" s="96"/>
      <c r="B81" s="96"/>
      <c r="C81" s="96"/>
      <c r="D81" s="96"/>
      <c r="E81" s="96"/>
      <c r="F81" s="100">
        <v>0.1745</v>
      </c>
      <c r="G81" s="100">
        <v>0.0</v>
      </c>
      <c r="H81" s="100">
        <v>0.048</v>
      </c>
      <c r="I81" s="100">
        <v>0.076</v>
      </c>
      <c r="J81" s="100">
        <v>0.0941</v>
      </c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</row>
    <row r="82" outlineLevel="1">
      <c r="A82" s="96"/>
      <c r="B82" s="96"/>
      <c r="C82" s="96"/>
      <c r="D82" s="96"/>
      <c r="E82" s="96"/>
      <c r="F82" s="100">
        <v>0.192</v>
      </c>
      <c r="G82" s="100">
        <v>0.0</v>
      </c>
      <c r="H82" s="100">
        <v>0.0499</v>
      </c>
      <c r="I82" s="100">
        <v>0.0789</v>
      </c>
      <c r="J82" s="100">
        <v>0.0975</v>
      </c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 outlineLevel="1">
      <c r="A83" s="96"/>
      <c r="B83" s="96"/>
      <c r="C83" s="96"/>
      <c r="D83" s="96"/>
      <c r="E83" s="96"/>
      <c r="F83" s="100">
        <v>0.2094</v>
      </c>
      <c r="G83" s="100">
        <v>0.0</v>
      </c>
      <c r="H83" s="100">
        <v>0.0518</v>
      </c>
      <c r="I83" s="100">
        <v>0.0818</v>
      </c>
      <c r="J83" s="100">
        <v>0.1008</v>
      </c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</row>
    <row r="84" outlineLevel="1">
      <c r="A84" s="96"/>
      <c r="B84" s="96"/>
      <c r="C84" s="96"/>
      <c r="D84" s="96"/>
      <c r="E84" s="96"/>
      <c r="F84" s="100">
        <v>0.2269</v>
      </c>
      <c r="G84" s="100">
        <v>0.0</v>
      </c>
      <c r="H84" s="100">
        <v>0.0538</v>
      </c>
      <c r="I84" s="100">
        <v>0.0847</v>
      </c>
      <c r="J84" s="100">
        <v>0.1043</v>
      </c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</row>
    <row r="85" outlineLevel="1">
      <c r="A85" s="96"/>
      <c r="B85" s="96"/>
      <c r="C85" s="96"/>
      <c r="D85" s="96"/>
      <c r="E85" s="96"/>
      <c r="F85" s="100">
        <v>0.2443</v>
      </c>
      <c r="G85" s="100">
        <v>0.0</v>
      </c>
      <c r="H85" s="100">
        <v>0.0559</v>
      </c>
      <c r="I85" s="100">
        <v>0.0879</v>
      </c>
      <c r="J85" s="100">
        <v>0.108</v>
      </c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 outlineLevel="1">
      <c r="A86" s="96"/>
      <c r="B86" s="96"/>
      <c r="C86" s="96"/>
      <c r="D86" s="96"/>
      <c r="E86" s="96"/>
      <c r="F86" s="100">
        <v>0.2618</v>
      </c>
      <c r="G86" s="100">
        <v>0.0</v>
      </c>
      <c r="H86" s="100">
        <v>0.0582</v>
      </c>
      <c r="I86" s="100">
        <v>0.0913</v>
      </c>
      <c r="J86" s="100">
        <v>0.112</v>
      </c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</row>
    <row r="87" outlineLevel="1">
      <c r="A87" s="96"/>
      <c r="B87" s="96"/>
      <c r="C87" s="96"/>
      <c r="D87" s="96"/>
      <c r="E87" s="96"/>
      <c r="F87" s="100">
        <v>0.2793</v>
      </c>
      <c r="G87" s="100">
        <v>0.0</v>
      </c>
      <c r="H87" s="100">
        <v>0.059</v>
      </c>
      <c r="I87" s="100">
        <v>0.0925</v>
      </c>
      <c r="J87" s="100">
        <v>0.1133</v>
      </c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</row>
    <row r="88" outlineLevel="1">
      <c r="A88" s="96"/>
      <c r="B88" s="96"/>
      <c r="C88" s="96"/>
      <c r="D88" s="96"/>
      <c r="E88" s="96"/>
      <c r="F88" s="100">
        <v>0.2967</v>
      </c>
      <c r="G88" s="100">
        <v>0.0</v>
      </c>
      <c r="H88" s="100">
        <v>0.0581</v>
      </c>
      <c r="I88" s="100">
        <v>0.0911</v>
      </c>
      <c r="J88" s="100">
        <v>0.1117</v>
      </c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</row>
    <row r="89" outlineLevel="1">
      <c r="A89" s="96"/>
      <c r="B89" s="96"/>
      <c r="C89" s="96"/>
      <c r="D89" s="96"/>
      <c r="E89" s="96"/>
      <c r="F89" s="100">
        <v>0.3142</v>
      </c>
      <c r="G89" s="100">
        <v>0.0</v>
      </c>
      <c r="H89" s="100">
        <v>0.0567</v>
      </c>
      <c r="I89" s="100">
        <v>0.089</v>
      </c>
      <c r="J89" s="100">
        <v>0.1093</v>
      </c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 outlineLevel="1">
      <c r="A90" s="96"/>
      <c r="B90" s="96"/>
      <c r="C90" s="96"/>
      <c r="D90" s="96"/>
      <c r="E90" s="96"/>
      <c r="F90" s="100">
        <v>0.3316</v>
      </c>
      <c r="G90" s="100">
        <v>0.0</v>
      </c>
      <c r="H90" s="100">
        <v>0.0546</v>
      </c>
      <c r="I90" s="100">
        <v>0.0859</v>
      </c>
      <c r="J90" s="100">
        <v>0.1056</v>
      </c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 outlineLevel="1">
      <c r="A91" s="96"/>
      <c r="B91" s="96"/>
      <c r="C91" s="96"/>
      <c r="D91" s="96"/>
      <c r="E91" s="96"/>
      <c r="F91" s="100">
        <v>0.3491</v>
      </c>
      <c r="G91" s="100">
        <v>0.0</v>
      </c>
      <c r="H91" s="100">
        <v>0.0485</v>
      </c>
      <c r="I91" s="100">
        <v>0.0767</v>
      </c>
      <c r="J91" s="100">
        <v>0.095</v>
      </c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</row>
    <row r="92" outlineLevel="1">
      <c r="A92" s="96"/>
      <c r="B92" s="96"/>
      <c r="C92" s="96"/>
      <c r="D92" s="96"/>
      <c r="E92" s="96" t="s">
        <v>144</v>
      </c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</row>
    <row r="93" outlineLevel="1">
      <c r="A93" s="96"/>
      <c r="B93" s="96"/>
      <c r="C93" s="96"/>
      <c r="D93" s="96" t="s">
        <v>145</v>
      </c>
      <c r="E93" s="96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</row>
    <row r="94" outlineLevel="1">
      <c r="A94" s="96"/>
      <c r="B94" s="96"/>
      <c r="C94" s="96" t="s">
        <v>155</v>
      </c>
      <c r="D94" s="96"/>
      <c r="E94" s="96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</row>
    <row r="95" outlineLevel="1">
      <c r="A95" s="96"/>
      <c r="B95" s="96" t="s">
        <v>146</v>
      </c>
      <c r="C95" s="96"/>
      <c r="D95" s="96"/>
      <c r="E95" s="96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</row>
    <row r="96">
      <c r="B96" s="96" t="s">
        <v>166</v>
      </c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</row>
    <row r="97" outlineLevel="1">
      <c r="B97" s="94"/>
      <c r="C97" s="96" t="s">
        <v>167</v>
      </c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</row>
    <row r="98" outlineLevel="1">
      <c r="B98" s="94"/>
      <c r="C98" s="96" t="s">
        <v>150</v>
      </c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</row>
    <row r="99" outlineLevel="1">
      <c r="B99" s="94"/>
      <c r="C99" s="94"/>
      <c r="D99" s="96" t="s">
        <v>151</v>
      </c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</row>
    <row r="100" outlineLevel="1">
      <c r="B100" s="94"/>
      <c r="C100" s="94"/>
      <c r="D100" s="96" t="s">
        <v>152</v>
      </c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</row>
    <row r="101" outlineLevel="1">
      <c r="B101" s="94"/>
      <c r="C101" s="94"/>
      <c r="D101" s="96" t="s">
        <v>168</v>
      </c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</row>
    <row r="102" outlineLevel="1">
      <c r="B102" s="94"/>
      <c r="C102" s="94"/>
      <c r="D102" s="96" t="s">
        <v>153</v>
      </c>
      <c r="E102" s="102">
        <f>Calculation!H46</f>
        <v>0.04703443878</v>
      </c>
      <c r="F102" s="96" t="s">
        <v>154</v>
      </c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</row>
    <row r="103" outlineLevel="1">
      <c r="B103" s="94"/>
      <c r="C103" s="96" t="s">
        <v>155</v>
      </c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</row>
    <row r="104" outlineLevel="1">
      <c r="B104" s="96" t="s">
        <v>146</v>
      </c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</row>
    <row r="105">
      <c r="A105" s="93" t="s">
        <v>169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</row>
    <row r="106"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</row>
    <row r="107">
      <c r="A107" s="93" t="s">
        <v>170</v>
      </c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</row>
    <row r="108">
      <c r="B108" s="96" t="s">
        <v>171</v>
      </c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</row>
    <row r="109">
      <c r="C109" s="96" t="s">
        <v>172</v>
      </c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</row>
    <row r="110">
      <c r="A110" s="94"/>
      <c r="B110" s="94"/>
      <c r="C110" s="96" t="s">
        <v>150</v>
      </c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</row>
    <row r="111">
      <c r="A111" s="94"/>
      <c r="B111" s="94"/>
      <c r="C111" s="94"/>
      <c r="D111" s="96" t="s">
        <v>151</v>
      </c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</row>
    <row r="112">
      <c r="A112" s="94"/>
      <c r="B112" s="94"/>
      <c r="C112" s="94"/>
      <c r="D112" s="96" t="s">
        <v>152</v>
      </c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</row>
    <row r="113">
      <c r="A113" s="94"/>
      <c r="B113" s="94"/>
      <c r="C113" s="94"/>
      <c r="D113" s="96" t="s">
        <v>173</v>
      </c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</row>
    <row r="114">
      <c r="A114" s="94"/>
      <c r="B114" s="94"/>
      <c r="C114" s="94"/>
      <c r="D114" s="96" t="s">
        <v>153</v>
      </c>
      <c r="E114" s="96">
        <v>0.307</v>
      </c>
      <c r="F114" s="96" t="s">
        <v>154</v>
      </c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</row>
    <row r="115">
      <c r="A115" s="94"/>
      <c r="B115" s="94"/>
      <c r="C115" s="96" t="s">
        <v>155</v>
      </c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</row>
    <row r="116">
      <c r="A116" s="94"/>
      <c r="B116" s="96" t="s">
        <v>146</v>
      </c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</row>
    <row r="117">
      <c r="A117" s="94"/>
      <c r="B117" s="96" t="s">
        <v>174</v>
      </c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</row>
    <row r="118">
      <c r="A118" s="94"/>
      <c r="B118" s="94"/>
      <c r="C118" s="96" t="s">
        <v>175</v>
      </c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</row>
    <row r="119">
      <c r="A119" s="94"/>
      <c r="B119" s="94"/>
      <c r="C119" s="96" t="s">
        <v>150</v>
      </c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</row>
    <row r="120">
      <c r="A120" s="94"/>
      <c r="B120" s="94"/>
      <c r="C120" s="94"/>
      <c r="D120" s="96" t="s">
        <v>151</v>
      </c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</row>
    <row r="121">
      <c r="B121" s="94"/>
      <c r="C121" s="94"/>
      <c r="D121" s="96" t="s">
        <v>152</v>
      </c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</row>
    <row r="122">
      <c r="B122" s="94"/>
      <c r="C122" s="94"/>
      <c r="D122" s="96" t="s">
        <v>173</v>
      </c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</row>
    <row r="123">
      <c r="B123" s="94"/>
      <c r="C123" s="94"/>
      <c r="D123" s="96" t="s">
        <v>141</v>
      </c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</row>
    <row r="124">
      <c r="B124" s="94"/>
      <c r="C124" s="94"/>
      <c r="D124" s="94"/>
      <c r="E124" s="96" t="s">
        <v>158</v>
      </c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</row>
    <row r="125">
      <c r="B125" s="94"/>
      <c r="C125" s="94"/>
      <c r="D125" s="94"/>
      <c r="E125" s="96" t="s">
        <v>143</v>
      </c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</row>
    <row r="126">
      <c r="B126" s="94"/>
      <c r="C126" s="94"/>
      <c r="D126" s="94"/>
      <c r="E126" s="94"/>
      <c r="F126" s="100">
        <v>-0.09</v>
      </c>
      <c r="G126" s="100">
        <v>-0.527</v>
      </c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</row>
    <row r="127">
      <c r="B127" s="94"/>
      <c r="C127" s="94"/>
      <c r="D127" s="94"/>
      <c r="E127" s="94"/>
      <c r="F127" s="100">
        <v>0.0</v>
      </c>
      <c r="G127" s="100">
        <v>-0.057</v>
      </c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</row>
    <row r="128">
      <c r="B128" s="94"/>
      <c r="C128" s="94"/>
      <c r="D128" s="94"/>
      <c r="E128" s="94"/>
      <c r="F128" s="100">
        <v>0.14</v>
      </c>
      <c r="G128" s="100">
        <v>0.713</v>
      </c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</row>
    <row r="129">
      <c r="B129" s="94"/>
      <c r="C129" s="94"/>
      <c r="D129" s="94"/>
      <c r="E129" s="94"/>
      <c r="F129" s="100">
        <v>0.21</v>
      </c>
      <c r="G129" s="100">
        <v>0.945</v>
      </c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</row>
    <row r="130">
      <c r="B130" s="94"/>
      <c r="C130" s="94"/>
      <c r="D130" s="94"/>
      <c r="E130" s="94"/>
      <c r="F130" s="100">
        <v>0.24</v>
      </c>
      <c r="G130" s="100">
        <v>1.047</v>
      </c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</row>
    <row r="131">
      <c r="B131" s="94"/>
      <c r="C131" s="94"/>
      <c r="D131" s="94"/>
      <c r="E131" s="94"/>
      <c r="F131" s="100">
        <v>0.26</v>
      </c>
      <c r="G131" s="100">
        <v>1.133</v>
      </c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</row>
    <row r="132">
      <c r="B132" s="94"/>
      <c r="C132" s="94"/>
      <c r="D132" s="94"/>
      <c r="E132" s="94"/>
      <c r="F132" s="100">
        <v>0.28</v>
      </c>
      <c r="G132" s="100">
        <v>1.159</v>
      </c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</row>
    <row r="133">
      <c r="B133" s="94"/>
      <c r="C133" s="94"/>
      <c r="D133" s="94"/>
      <c r="E133" s="94"/>
      <c r="F133" s="100">
        <v>0.3</v>
      </c>
      <c r="G133" s="100">
        <v>1.125</v>
      </c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</row>
    <row r="134">
      <c r="B134" s="94"/>
      <c r="C134" s="94"/>
      <c r="D134" s="94"/>
      <c r="E134" s="94"/>
      <c r="F134" s="100">
        <v>0.32</v>
      </c>
      <c r="G134" s="100">
        <v>1.074</v>
      </c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</row>
    <row r="135">
      <c r="B135" s="94"/>
      <c r="C135" s="94"/>
      <c r="D135" s="94"/>
      <c r="E135" s="94"/>
      <c r="F135" s="100">
        <v>0.34</v>
      </c>
      <c r="G135" s="100">
        <v>0.991</v>
      </c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</row>
    <row r="136">
      <c r="B136" s="94"/>
      <c r="C136" s="94"/>
      <c r="D136" s="94"/>
      <c r="E136" s="94"/>
      <c r="F136" s="100">
        <v>0.36</v>
      </c>
      <c r="G136" s="100">
        <v>0.663</v>
      </c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</row>
    <row r="137">
      <c r="B137" s="94"/>
      <c r="C137" s="94"/>
      <c r="D137" s="94"/>
      <c r="E137" s="96" t="s">
        <v>144</v>
      </c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</row>
    <row r="138">
      <c r="B138" s="94"/>
      <c r="C138" s="94"/>
      <c r="D138" s="96" t="s">
        <v>145</v>
      </c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</row>
    <row r="139">
      <c r="B139" s="94"/>
      <c r="C139" s="96" t="s">
        <v>155</v>
      </c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</row>
    <row r="140">
      <c r="A140" s="96"/>
      <c r="B140" s="96" t="s">
        <v>146</v>
      </c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</row>
    <row r="141">
      <c r="A141" s="96"/>
      <c r="B141" s="96" t="s">
        <v>176</v>
      </c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</row>
    <row r="142">
      <c r="A142" s="96"/>
      <c r="B142" s="96"/>
      <c r="C142" s="96" t="s">
        <v>177</v>
      </c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</row>
    <row r="143">
      <c r="A143" s="96"/>
      <c r="B143" s="96"/>
      <c r="C143" s="96" t="s">
        <v>150</v>
      </c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</row>
    <row r="144">
      <c r="A144" s="96"/>
      <c r="B144" s="96"/>
      <c r="C144" s="94"/>
      <c r="D144" s="96" t="s">
        <v>151</v>
      </c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</row>
    <row r="145">
      <c r="A145" s="96"/>
      <c r="B145" s="96"/>
      <c r="C145" s="94"/>
      <c r="D145" s="96" t="s">
        <v>152</v>
      </c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</row>
    <row r="146">
      <c r="A146" s="96"/>
      <c r="B146" s="96"/>
      <c r="C146" s="94"/>
      <c r="D146" s="96" t="s">
        <v>173</v>
      </c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</row>
    <row r="147">
      <c r="A147" s="96"/>
      <c r="B147" s="96"/>
      <c r="C147" s="94"/>
      <c r="D147" s="96" t="s">
        <v>141</v>
      </c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</row>
    <row r="148">
      <c r="A148" s="96"/>
      <c r="B148" s="96"/>
      <c r="C148" s="94"/>
      <c r="D148" s="94"/>
      <c r="E148" s="96" t="s">
        <v>178</v>
      </c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</row>
    <row r="149">
      <c r="A149" s="96"/>
      <c r="B149" s="96"/>
      <c r="C149" s="94"/>
      <c r="D149" s="94"/>
      <c r="E149" s="96" t="s">
        <v>143</v>
      </c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</row>
    <row r="150">
      <c r="A150" s="96"/>
      <c r="B150" s="96"/>
      <c r="C150" s="94"/>
      <c r="D150" s="94"/>
      <c r="E150" s="94"/>
      <c r="F150" s="100">
        <v>0.0</v>
      </c>
      <c r="G150" s="100">
        <v>0.0</v>
      </c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</row>
    <row r="151">
      <c r="B151" s="94"/>
      <c r="C151" s="94"/>
      <c r="D151" s="94"/>
      <c r="E151" s="94"/>
      <c r="F151" s="100">
        <v>10.0</v>
      </c>
      <c r="G151" s="100">
        <v>0.2</v>
      </c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</row>
    <row r="152">
      <c r="B152" s="94"/>
      <c r="C152" s="94"/>
      <c r="D152" s="94"/>
      <c r="E152" s="94"/>
      <c r="F152" s="100">
        <v>20.0</v>
      </c>
      <c r="G152" s="100">
        <v>0.3</v>
      </c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</row>
    <row r="153">
      <c r="B153" s="94"/>
      <c r="C153" s="94"/>
      <c r="D153" s="94"/>
      <c r="E153" s="94"/>
      <c r="F153" s="100">
        <v>30.0</v>
      </c>
      <c r="G153" s="100">
        <v>0.35</v>
      </c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</row>
    <row r="154">
      <c r="B154" s="94"/>
      <c r="C154" s="94"/>
      <c r="D154" s="94"/>
      <c r="E154" s="96" t="s">
        <v>144</v>
      </c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</row>
    <row r="155">
      <c r="B155" s="94"/>
      <c r="C155" s="94"/>
      <c r="D155" s="96" t="s">
        <v>145</v>
      </c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</row>
    <row r="156">
      <c r="B156" s="94"/>
      <c r="C156" s="96" t="s">
        <v>155</v>
      </c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</row>
    <row r="157">
      <c r="B157" s="96" t="s">
        <v>146</v>
      </c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</row>
    <row r="158">
      <c r="B158" s="96" t="s">
        <v>179</v>
      </c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</row>
    <row r="159">
      <c r="B159" s="94"/>
      <c r="C159" s="96" t="s">
        <v>180</v>
      </c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</row>
    <row r="160">
      <c r="B160" s="94"/>
      <c r="C160" s="96" t="s">
        <v>150</v>
      </c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</row>
    <row r="161">
      <c r="B161" s="94"/>
      <c r="C161" s="94"/>
      <c r="D161" s="96" t="s">
        <v>151</v>
      </c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</row>
    <row r="162">
      <c r="B162" s="94"/>
      <c r="C162" s="94"/>
      <c r="D162" s="96" t="s">
        <v>152</v>
      </c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</row>
    <row r="163">
      <c r="B163" s="94"/>
      <c r="C163" s="94"/>
      <c r="D163" s="96" t="s">
        <v>181</v>
      </c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</row>
    <row r="164">
      <c r="A164" s="96"/>
      <c r="B164" s="96"/>
      <c r="C164" s="94"/>
      <c r="D164" s="96" t="s">
        <v>182</v>
      </c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</row>
    <row r="165">
      <c r="A165" s="96"/>
      <c r="B165" s="96"/>
      <c r="C165" s="94"/>
      <c r="D165" s="96" t="s">
        <v>183</v>
      </c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</row>
    <row r="166">
      <c r="A166" s="96"/>
      <c r="B166" s="96"/>
      <c r="C166" s="96" t="s">
        <v>155</v>
      </c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</row>
    <row r="167">
      <c r="A167" s="96"/>
      <c r="B167" s="96" t="s">
        <v>146</v>
      </c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</row>
    <row r="168">
      <c r="B168" s="96" t="s">
        <v>184</v>
      </c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</row>
    <row r="169">
      <c r="B169" s="94"/>
      <c r="C169" s="96" t="s">
        <v>185</v>
      </c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</row>
    <row r="170">
      <c r="B170" s="94"/>
      <c r="C170" s="96" t="s">
        <v>150</v>
      </c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</row>
    <row r="171">
      <c r="B171" s="94"/>
      <c r="C171" s="94"/>
      <c r="D171" s="96" t="s">
        <v>151</v>
      </c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</row>
    <row r="172">
      <c r="B172" s="94"/>
      <c r="C172" s="94"/>
      <c r="D172" s="96" t="s">
        <v>152</v>
      </c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</row>
    <row r="173">
      <c r="B173" s="94"/>
      <c r="C173" s="94"/>
      <c r="D173" s="96" t="s">
        <v>186</v>
      </c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</row>
    <row r="174">
      <c r="B174" s="94"/>
      <c r="C174" s="94"/>
      <c r="D174" s="96" t="s">
        <v>182</v>
      </c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</row>
    <row r="175">
      <c r="B175" s="94"/>
      <c r="C175" s="94"/>
      <c r="D175" s="96" t="s">
        <v>187</v>
      </c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</row>
    <row r="176">
      <c r="B176" s="94"/>
      <c r="C176" s="96" t="s">
        <v>155</v>
      </c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</row>
    <row r="177">
      <c r="B177" s="96" t="s">
        <v>146</v>
      </c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</row>
    <row r="178">
      <c r="B178" s="96" t="s">
        <v>188</v>
      </c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</row>
    <row r="179">
      <c r="B179" s="94"/>
      <c r="C179" s="96" t="s">
        <v>189</v>
      </c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</row>
    <row r="180">
      <c r="B180" s="94"/>
      <c r="C180" s="96" t="s">
        <v>150</v>
      </c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</row>
    <row r="181">
      <c r="B181" s="94"/>
      <c r="C181" s="94"/>
      <c r="D181" s="96" t="s">
        <v>151</v>
      </c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</row>
    <row r="182">
      <c r="B182" s="94"/>
      <c r="C182" s="94"/>
      <c r="D182" s="96" t="s">
        <v>152</v>
      </c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</row>
    <row r="183">
      <c r="B183" s="94"/>
      <c r="C183" s="94"/>
      <c r="D183" s="96" t="s">
        <v>190</v>
      </c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</row>
    <row r="184">
      <c r="B184" s="94"/>
      <c r="C184" s="94"/>
      <c r="D184" s="96" t="s">
        <v>191</v>
      </c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</row>
    <row r="185">
      <c r="B185" s="94"/>
      <c r="C185" s="96" t="s">
        <v>155</v>
      </c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</row>
    <row r="186">
      <c r="B186" s="96" t="s">
        <v>146</v>
      </c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</row>
    <row r="187">
      <c r="A187" s="93" t="s">
        <v>169</v>
      </c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</row>
    <row r="188"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</row>
    <row r="189"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</row>
    <row r="190"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</row>
    <row r="191"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</row>
    <row r="192"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</row>
    <row r="193"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</row>
    <row r="194"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</row>
    <row r="195"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</row>
    <row r="196"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</row>
    <row r="197"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</row>
    <row r="198"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</row>
    <row r="199"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</row>
    <row r="200"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</row>
    <row r="201"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>
      <c r="A984" s="94"/>
      <c r="B984" s="94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>
      <c r="A985" s="94"/>
      <c r="B985" s="94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2025-04-09T19:01:51Z</dcterms:created>
  <dc:creator>openpyxl</dc:creator>
</cp:coreProperties>
</file>